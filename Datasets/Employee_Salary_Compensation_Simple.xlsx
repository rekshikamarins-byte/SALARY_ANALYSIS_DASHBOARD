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M\Downloads\"/>
    </mc:Choice>
  </mc:AlternateContent>
  <bookViews>
    <workbookView xWindow="0" yWindow="0" windowWidth="23040" windowHeight="8496" tabRatio="500"/>
  </bookViews>
  <sheets>
    <sheet name="Employee_Compensation" sheetId="1" r:id="rId1"/>
    <sheet name="Data_Dictionary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01" i="1" l="1"/>
  <c r="N201" i="1" s="1"/>
  <c r="M200" i="1"/>
  <c r="N200" i="1" s="1"/>
  <c r="N199" i="1"/>
  <c r="M199" i="1"/>
  <c r="N198" i="1"/>
  <c r="M198" i="1"/>
  <c r="M197" i="1"/>
  <c r="N197" i="1" s="1"/>
  <c r="M196" i="1"/>
  <c r="N196" i="1" s="1"/>
  <c r="N195" i="1"/>
  <c r="M195" i="1"/>
  <c r="N194" i="1"/>
  <c r="M194" i="1"/>
  <c r="M193" i="1"/>
  <c r="N193" i="1" s="1"/>
  <c r="M192" i="1"/>
  <c r="N192" i="1" s="1"/>
  <c r="N191" i="1"/>
  <c r="M191" i="1"/>
  <c r="N190" i="1"/>
  <c r="M190" i="1"/>
  <c r="M189" i="1"/>
  <c r="N189" i="1" s="1"/>
  <c r="M188" i="1"/>
  <c r="N188" i="1" s="1"/>
  <c r="N187" i="1"/>
  <c r="M187" i="1"/>
  <c r="N186" i="1"/>
  <c r="M186" i="1"/>
  <c r="M185" i="1"/>
  <c r="N185" i="1" s="1"/>
  <c r="M184" i="1"/>
  <c r="N184" i="1" s="1"/>
  <c r="N183" i="1"/>
  <c r="M183" i="1"/>
  <c r="N182" i="1"/>
  <c r="M182" i="1"/>
  <c r="M181" i="1"/>
  <c r="N181" i="1" s="1"/>
  <c r="M180" i="1"/>
  <c r="N180" i="1" s="1"/>
  <c r="N179" i="1"/>
  <c r="M179" i="1"/>
  <c r="N178" i="1"/>
  <c r="M178" i="1"/>
  <c r="M177" i="1"/>
  <c r="N177" i="1" s="1"/>
  <c r="M176" i="1"/>
  <c r="N176" i="1" s="1"/>
  <c r="N175" i="1"/>
  <c r="M175" i="1"/>
  <c r="N174" i="1"/>
  <c r="M174" i="1"/>
  <c r="M173" i="1"/>
  <c r="N173" i="1" s="1"/>
  <c r="M172" i="1"/>
  <c r="N172" i="1" s="1"/>
  <c r="N171" i="1"/>
  <c r="M171" i="1"/>
  <c r="N170" i="1"/>
  <c r="M170" i="1"/>
  <c r="M169" i="1"/>
  <c r="N169" i="1" s="1"/>
  <c r="M168" i="1"/>
  <c r="N168" i="1" s="1"/>
  <c r="N167" i="1"/>
  <c r="M167" i="1"/>
  <c r="N166" i="1"/>
  <c r="M166" i="1"/>
  <c r="M165" i="1"/>
  <c r="N165" i="1" s="1"/>
  <c r="M164" i="1"/>
  <c r="N164" i="1" s="1"/>
  <c r="N163" i="1"/>
  <c r="M163" i="1"/>
  <c r="N162" i="1"/>
  <c r="M162" i="1"/>
  <c r="M161" i="1"/>
  <c r="N161" i="1" s="1"/>
  <c r="M160" i="1"/>
  <c r="N160" i="1" s="1"/>
  <c r="N159" i="1"/>
  <c r="M159" i="1"/>
  <c r="N158" i="1"/>
  <c r="M158" i="1"/>
  <c r="M157" i="1"/>
  <c r="N157" i="1" s="1"/>
  <c r="M156" i="1"/>
  <c r="N156" i="1" s="1"/>
  <c r="N155" i="1"/>
  <c r="M155" i="1"/>
  <c r="N154" i="1"/>
  <c r="M154" i="1"/>
  <c r="M153" i="1"/>
  <c r="N153" i="1" s="1"/>
  <c r="M152" i="1"/>
  <c r="N152" i="1" s="1"/>
  <c r="N151" i="1"/>
  <c r="M151" i="1"/>
  <c r="N150" i="1"/>
  <c r="M150" i="1"/>
  <c r="M149" i="1"/>
  <c r="N149" i="1" s="1"/>
  <c r="M148" i="1"/>
  <c r="N148" i="1" s="1"/>
  <c r="N147" i="1"/>
  <c r="M147" i="1"/>
  <c r="N146" i="1"/>
  <c r="M146" i="1"/>
  <c r="M145" i="1"/>
  <c r="N145" i="1" s="1"/>
  <c r="M144" i="1"/>
  <c r="N144" i="1" s="1"/>
  <c r="N143" i="1"/>
  <c r="M143" i="1"/>
  <c r="N142" i="1"/>
  <c r="M142" i="1"/>
  <c r="M141" i="1"/>
  <c r="N141" i="1" s="1"/>
  <c r="M140" i="1"/>
  <c r="N140" i="1" s="1"/>
  <c r="N139" i="1"/>
  <c r="M139" i="1"/>
  <c r="N138" i="1"/>
  <c r="M138" i="1"/>
  <c r="M137" i="1"/>
  <c r="N137" i="1" s="1"/>
  <c r="M136" i="1"/>
  <c r="N136" i="1" s="1"/>
  <c r="N135" i="1"/>
  <c r="M135" i="1"/>
  <c r="N134" i="1"/>
  <c r="M134" i="1"/>
  <c r="M133" i="1"/>
  <c r="N133" i="1" s="1"/>
  <c r="M132" i="1"/>
  <c r="N132" i="1" s="1"/>
  <c r="N131" i="1"/>
  <c r="M131" i="1"/>
  <c r="N130" i="1"/>
  <c r="M130" i="1"/>
  <c r="M129" i="1"/>
  <c r="N129" i="1" s="1"/>
  <c r="M128" i="1"/>
  <c r="N128" i="1" s="1"/>
  <c r="N127" i="1"/>
  <c r="M127" i="1"/>
  <c r="N126" i="1"/>
  <c r="M126" i="1"/>
  <c r="M125" i="1"/>
  <c r="N125" i="1" s="1"/>
  <c r="M124" i="1"/>
  <c r="N124" i="1" s="1"/>
  <c r="N123" i="1"/>
  <c r="M123" i="1"/>
  <c r="N122" i="1"/>
  <c r="M122" i="1"/>
  <c r="M121" i="1"/>
  <c r="N121" i="1" s="1"/>
  <c r="M120" i="1"/>
  <c r="N120" i="1" s="1"/>
  <c r="N119" i="1"/>
  <c r="M119" i="1"/>
  <c r="N118" i="1"/>
  <c r="M118" i="1"/>
  <c r="M117" i="1"/>
  <c r="N117" i="1" s="1"/>
  <c r="M116" i="1"/>
  <c r="N116" i="1" s="1"/>
  <c r="N115" i="1"/>
  <c r="M115" i="1"/>
  <c r="N114" i="1"/>
  <c r="M114" i="1"/>
  <c r="M113" i="1"/>
  <c r="N113" i="1" s="1"/>
  <c r="M112" i="1"/>
  <c r="N112" i="1" s="1"/>
  <c r="N111" i="1"/>
  <c r="M111" i="1"/>
  <c r="N110" i="1"/>
  <c r="M110" i="1"/>
  <c r="M109" i="1"/>
  <c r="N109" i="1" s="1"/>
  <c r="M108" i="1"/>
  <c r="N108" i="1" s="1"/>
  <c r="N107" i="1"/>
  <c r="M107" i="1"/>
  <c r="N106" i="1"/>
  <c r="M106" i="1"/>
  <c r="M105" i="1"/>
  <c r="N105" i="1" s="1"/>
  <c r="M104" i="1"/>
  <c r="N104" i="1" s="1"/>
  <c r="N103" i="1"/>
  <c r="M103" i="1"/>
  <c r="N102" i="1"/>
  <c r="M102" i="1"/>
  <c r="M101" i="1"/>
  <c r="N101" i="1" s="1"/>
  <c r="M100" i="1"/>
  <c r="N100" i="1" s="1"/>
  <c r="N99" i="1"/>
  <c r="M99" i="1"/>
  <c r="N98" i="1"/>
  <c r="M98" i="1"/>
  <c r="M97" i="1"/>
  <c r="N97" i="1" s="1"/>
  <c r="M96" i="1"/>
  <c r="N96" i="1" s="1"/>
  <c r="N95" i="1"/>
  <c r="M95" i="1"/>
  <c r="N94" i="1"/>
  <c r="M94" i="1"/>
  <c r="M93" i="1"/>
  <c r="N93" i="1" s="1"/>
  <c r="M92" i="1"/>
  <c r="N92" i="1" s="1"/>
  <c r="N91" i="1"/>
  <c r="M91" i="1"/>
  <c r="M90" i="1"/>
  <c r="N90" i="1" s="1"/>
  <c r="M89" i="1"/>
  <c r="N89" i="1" s="1"/>
  <c r="M88" i="1"/>
  <c r="N88" i="1" s="1"/>
  <c r="N87" i="1"/>
  <c r="M87" i="1"/>
  <c r="M86" i="1"/>
  <c r="N86" i="1" s="1"/>
  <c r="M85" i="1"/>
  <c r="N85" i="1" s="1"/>
  <c r="M84" i="1"/>
  <c r="N84" i="1" s="1"/>
  <c r="N83" i="1"/>
  <c r="M83" i="1"/>
  <c r="M82" i="1"/>
  <c r="N82" i="1" s="1"/>
  <c r="M81" i="1"/>
  <c r="N81" i="1" s="1"/>
  <c r="M80" i="1"/>
  <c r="N80" i="1" s="1"/>
  <c r="N79" i="1"/>
  <c r="M79" i="1"/>
  <c r="M78" i="1"/>
  <c r="N78" i="1" s="1"/>
  <c r="M77" i="1"/>
  <c r="N77" i="1" s="1"/>
  <c r="M76" i="1"/>
  <c r="N76" i="1" s="1"/>
  <c r="N75" i="1"/>
  <c r="M75" i="1"/>
  <c r="M74" i="1"/>
  <c r="N74" i="1" s="1"/>
  <c r="M73" i="1"/>
  <c r="N73" i="1" s="1"/>
  <c r="M72" i="1"/>
  <c r="N72" i="1" s="1"/>
  <c r="N71" i="1"/>
  <c r="M71" i="1"/>
  <c r="M70" i="1"/>
  <c r="N70" i="1" s="1"/>
  <c r="M69" i="1"/>
  <c r="N69" i="1" s="1"/>
  <c r="M68" i="1"/>
  <c r="N68" i="1" s="1"/>
  <c r="N67" i="1"/>
  <c r="M67" i="1"/>
  <c r="M66" i="1"/>
  <c r="N66" i="1" s="1"/>
  <c r="M65" i="1"/>
  <c r="N65" i="1" s="1"/>
  <c r="M64" i="1"/>
  <c r="N64" i="1" s="1"/>
  <c r="N63" i="1"/>
  <c r="M63" i="1"/>
  <c r="M62" i="1"/>
  <c r="N62" i="1" s="1"/>
  <c r="M61" i="1"/>
  <c r="N61" i="1" s="1"/>
  <c r="M60" i="1"/>
  <c r="N60" i="1" s="1"/>
  <c r="N59" i="1"/>
  <c r="M59" i="1"/>
  <c r="M58" i="1"/>
  <c r="N58" i="1" s="1"/>
  <c r="M57" i="1"/>
  <c r="N57" i="1" s="1"/>
  <c r="M56" i="1"/>
  <c r="N56" i="1" s="1"/>
  <c r="N55" i="1"/>
  <c r="M55" i="1"/>
  <c r="M54" i="1"/>
  <c r="N54" i="1" s="1"/>
  <c r="M53" i="1"/>
  <c r="N53" i="1" s="1"/>
  <c r="M52" i="1"/>
  <c r="N52" i="1" s="1"/>
  <c r="N51" i="1"/>
  <c r="M51" i="1"/>
  <c r="M50" i="1"/>
  <c r="N50" i="1" s="1"/>
  <c r="M49" i="1"/>
  <c r="N49" i="1" s="1"/>
  <c r="M48" i="1"/>
  <c r="N48" i="1" s="1"/>
  <c r="N47" i="1"/>
  <c r="M47" i="1"/>
  <c r="M46" i="1"/>
  <c r="N46" i="1" s="1"/>
  <c r="M45" i="1"/>
  <c r="N45" i="1" s="1"/>
  <c r="M44" i="1"/>
  <c r="N44" i="1" s="1"/>
  <c r="N43" i="1"/>
  <c r="M43" i="1"/>
  <c r="M42" i="1"/>
  <c r="N42" i="1" s="1"/>
  <c r="M41" i="1"/>
  <c r="N41" i="1" s="1"/>
  <c r="M40" i="1"/>
  <c r="N40" i="1" s="1"/>
  <c r="N39" i="1"/>
  <c r="M39" i="1"/>
  <c r="M38" i="1"/>
  <c r="N38" i="1" s="1"/>
  <c r="M37" i="1"/>
  <c r="N37" i="1" s="1"/>
  <c r="M36" i="1"/>
  <c r="N36" i="1" s="1"/>
  <c r="N35" i="1"/>
  <c r="M35" i="1"/>
  <c r="M34" i="1"/>
  <c r="N34" i="1" s="1"/>
  <c r="M33" i="1"/>
  <c r="N33" i="1" s="1"/>
  <c r="M32" i="1"/>
  <c r="N32" i="1" s="1"/>
  <c r="N31" i="1"/>
  <c r="M31" i="1"/>
  <c r="M30" i="1"/>
  <c r="N30" i="1" s="1"/>
  <c r="M29" i="1"/>
  <c r="N29" i="1" s="1"/>
  <c r="M28" i="1"/>
  <c r="N28" i="1" s="1"/>
  <c r="N27" i="1"/>
  <c r="M27" i="1"/>
  <c r="M26" i="1"/>
  <c r="N26" i="1" s="1"/>
  <c r="M25" i="1"/>
  <c r="N25" i="1" s="1"/>
  <c r="M24" i="1"/>
  <c r="N24" i="1" s="1"/>
  <c r="N23" i="1"/>
  <c r="M23" i="1"/>
  <c r="M22" i="1"/>
  <c r="N22" i="1" s="1"/>
  <c r="M21" i="1"/>
  <c r="N21" i="1" s="1"/>
  <c r="M20" i="1"/>
  <c r="N20" i="1" s="1"/>
  <c r="N19" i="1"/>
  <c r="M19" i="1"/>
  <c r="M18" i="1"/>
  <c r="N18" i="1" s="1"/>
  <c r="M17" i="1"/>
  <c r="N17" i="1" s="1"/>
  <c r="M16" i="1"/>
  <c r="N16" i="1" s="1"/>
  <c r="N15" i="1"/>
  <c r="M15" i="1"/>
  <c r="M14" i="1"/>
  <c r="N14" i="1" s="1"/>
  <c r="M13" i="1"/>
  <c r="N13" i="1" s="1"/>
  <c r="M12" i="1"/>
  <c r="N12" i="1" s="1"/>
  <c r="N11" i="1"/>
  <c r="M11" i="1"/>
  <c r="M10" i="1"/>
  <c r="N10" i="1" s="1"/>
  <c r="M9" i="1"/>
  <c r="N9" i="1" s="1"/>
  <c r="M8" i="1"/>
  <c r="N8" i="1" s="1"/>
  <c r="N7" i="1"/>
  <c r="M7" i="1"/>
  <c r="M6" i="1"/>
  <c r="N6" i="1" s="1"/>
  <c r="M5" i="1"/>
  <c r="N5" i="1" s="1"/>
  <c r="M4" i="1"/>
  <c r="N4" i="1" s="1"/>
  <c r="N3" i="1"/>
  <c r="M3" i="1"/>
  <c r="M2" i="1"/>
  <c r="N2" i="1" s="1"/>
</calcChain>
</file>

<file path=xl/sharedStrings.xml><?xml version="1.0" encoding="utf-8"?>
<sst xmlns="http://schemas.openxmlformats.org/spreadsheetml/2006/main" count="1238" uniqueCount="450">
  <si>
    <t>EmployeeID</t>
  </si>
  <si>
    <t>EmployeeName</t>
  </si>
  <si>
    <t>Gender</t>
  </si>
  <si>
    <t>Age</t>
  </si>
  <si>
    <t>Department</t>
  </si>
  <si>
    <t>Designation</t>
  </si>
  <si>
    <t>Location</t>
  </si>
  <si>
    <t>DateOfJoining</t>
  </si>
  <si>
    <t>ExperienceYears</t>
  </si>
  <si>
    <t>PerformanceRating</t>
  </si>
  <si>
    <t>MonthlySalary_INR</t>
  </si>
  <si>
    <t>AnnualBonus_INR</t>
  </si>
  <si>
    <t>AnnualCTC_INR</t>
  </si>
  <si>
    <t>AnnualCTC_Lakhs</t>
  </si>
  <si>
    <t>EMP1001</t>
  </si>
  <si>
    <t>Arjun Srinivasan</t>
  </si>
  <si>
    <t>Male</t>
  </si>
  <si>
    <t>Marketing</t>
  </si>
  <si>
    <t>Analyst</t>
  </si>
  <si>
    <t>Pune</t>
  </si>
  <si>
    <t>EMP1002</t>
  </si>
  <si>
    <t>Rohan Sharma</t>
  </si>
  <si>
    <t>Human Resources</t>
  </si>
  <si>
    <t>EMP1003</t>
  </si>
  <si>
    <t>Sowmya Verma</t>
  </si>
  <si>
    <t>Female</t>
  </si>
  <si>
    <t>Manager</t>
  </si>
  <si>
    <t>EMP1004</t>
  </si>
  <si>
    <t>Lakshmi Raman</t>
  </si>
  <si>
    <t>Engineering</t>
  </si>
  <si>
    <t>EMP1005</t>
  </si>
  <si>
    <t>Kiran Krishnan</t>
  </si>
  <si>
    <t>EMP1006</t>
  </si>
  <si>
    <t>Vijay Verma</t>
  </si>
  <si>
    <t>Senior Executive</t>
  </si>
  <si>
    <t>Mumbai</t>
  </si>
  <si>
    <t>EMP1007</t>
  </si>
  <si>
    <t>Kiran Srinivasan</t>
  </si>
  <si>
    <t>IT Support</t>
  </si>
  <si>
    <t>EMP1008</t>
  </si>
  <si>
    <t>Prakash Menon</t>
  </si>
  <si>
    <t>Finance</t>
  </si>
  <si>
    <t>Chennai</t>
  </si>
  <si>
    <t>EMP1009</t>
  </si>
  <si>
    <t>Siddharth Pandey</t>
  </si>
  <si>
    <t>EMP1010</t>
  </si>
  <si>
    <t>Aparna Gupta</t>
  </si>
  <si>
    <t>Customer Success</t>
  </si>
  <si>
    <t>Vice President</t>
  </si>
  <si>
    <t>EMP1011</t>
  </si>
  <si>
    <t>Balaji Raghunathan</t>
  </si>
  <si>
    <t>Delhi</t>
  </si>
  <si>
    <t>EMP1012</t>
  </si>
  <si>
    <t>Nikhil Kapoor</t>
  </si>
  <si>
    <t>Operations</t>
  </si>
  <si>
    <t>Team Lead</t>
  </si>
  <si>
    <t>EMP1013</t>
  </si>
  <si>
    <t>Bhavana Natarajan</t>
  </si>
  <si>
    <t>Associate</t>
  </si>
  <si>
    <t>EMP1014</t>
  </si>
  <si>
    <t>Mohan Subramanian</t>
  </si>
  <si>
    <t>Senior Analyst</t>
  </si>
  <si>
    <t>EMP1015</t>
  </si>
  <si>
    <t>Rohan Srinivasan</t>
  </si>
  <si>
    <t>Bangalore</t>
  </si>
  <si>
    <t>EMP1016</t>
  </si>
  <si>
    <t>Swathi Malhotra</t>
  </si>
  <si>
    <t>EMP1017</t>
  </si>
  <si>
    <t>Lakshmi Gupta</t>
  </si>
  <si>
    <t>Hyderabad</t>
  </si>
  <si>
    <t>EMP1018</t>
  </si>
  <si>
    <t>Rohan Kapoor</t>
  </si>
  <si>
    <t>Sales</t>
  </si>
  <si>
    <t>Executive</t>
  </si>
  <si>
    <t>EMP1019</t>
  </si>
  <si>
    <t>Abhishek Malhotra</t>
  </si>
  <si>
    <t>Senior Manager</t>
  </si>
  <si>
    <t>EMP1020</t>
  </si>
  <si>
    <t>Aishwarya Sinha</t>
  </si>
  <si>
    <t>EMP1021</t>
  </si>
  <si>
    <t>Ganesh Sharma</t>
  </si>
  <si>
    <t>EMP1022</t>
  </si>
  <si>
    <t>Vikram Venkatesh</t>
  </si>
  <si>
    <t>EMP1023</t>
  </si>
  <si>
    <t>Jyothi Menon</t>
  </si>
  <si>
    <t>EMP1024</t>
  </si>
  <si>
    <t>Meena Sharma</t>
  </si>
  <si>
    <t>EMP1025</t>
  </si>
  <si>
    <t>Vikram Mehta</t>
  </si>
  <si>
    <t>EMP1026</t>
  </si>
  <si>
    <t>Harish Desai</t>
  </si>
  <si>
    <t>EMP1027</t>
  </si>
  <si>
    <t>Nikhil Balasubramanian</t>
  </si>
  <si>
    <t>EMP1028</t>
  </si>
  <si>
    <t>Deepak Desai</t>
  </si>
  <si>
    <t>EMP1029</t>
  </si>
  <si>
    <t>Sathish Gupta</t>
  </si>
  <si>
    <t>EMP1030</t>
  </si>
  <si>
    <t>Sathish Nair</t>
  </si>
  <si>
    <t>EMP1031</t>
  </si>
  <si>
    <t>Nikhil Venkatesh</t>
  </si>
  <si>
    <t>EMP1032</t>
  </si>
  <si>
    <t>Siddharth Verma</t>
  </si>
  <si>
    <t>EMP1033</t>
  </si>
  <si>
    <t>Kiran Menon</t>
  </si>
  <si>
    <t>EMP1034</t>
  </si>
  <si>
    <t>Nikhil Gupta</t>
  </si>
  <si>
    <t>EMP1035</t>
  </si>
  <si>
    <t>Balaji Chowdhury</t>
  </si>
  <si>
    <t>EMP1036</t>
  </si>
  <si>
    <t>Rajesh Pillai</t>
  </si>
  <si>
    <t>EMP1037</t>
  </si>
  <si>
    <t>Shalini Bose</t>
  </si>
  <si>
    <t>EMP1038</t>
  </si>
  <si>
    <t>Anjali Mehta</t>
  </si>
  <si>
    <t>EMP1039</t>
  </si>
  <si>
    <t>Karthik Desai</t>
  </si>
  <si>
    <t>EMP1040</t>
  </si>
  <si>
    <t>Ramesh Malhotra</t>
  </si>
  <si>
    <t>EMP1041</t>
  </si>
  <si>
    <t>Nithya Sinha</t>
  </si>
  <si>
    <t>EMP1042</t>
  </si>
  <si>
    <t>Nithya Srinivasan</t>
  </si>
  <si>
    <t>EMP1043</t>
  </si>
  <si>
    <t>Madhavi Kulkarni</t>
  </si>
  <si>
    <t>EMP1044</t>
  </si>
  <si>
    <t>Nikhil Reddy</t>
  </si>
  <si>
    <t>EMP1045</t>
  </si>
  <si>
    <t>Arjun Menon</t>
  </si>
  <si>
    <t>EMP1046</t>
  </si>
  <si>
    <t>Deepa Nair</t>
  </si>
  <si>
    <t>EMP1047</t>
  </si>
  <si>
    <t>Divya Joshi</t>
  </si>
  <si>
    <t>EMP1048</t>
  </si>
  <si>
    <t>Rekha Malhotra</t>
  </si>
  <si>
    <t>EMP1049</t>
  </si>
  <si>
    <t>Preethi Natarajan</t>
  </si>
  <si>
    <t>EMP1050</t>
  </si>
  <si>
    <t>Aditya Nair</t>
  </si>
  <si>
    <t>EMP1051</t>
  </si>
  <si>
    <t>Divya Sharma</t>
  </si>
  <si>
    <t>EMP1052</t>
  </si>
  <si>
    <t>Ashwin Gupta</t>
  </si>
  <si>
    <t>EMP1053</t>
  </si>
  <si>
    <t>Prakash Naidu</t>
  </si>
  <si>
    <t>EMP1054</t>
  </si>
  <si>
    <t>Vikram Verma</t>
  </si>
  <si>
    <t>EMP1055</t>
  </si>
  <si>
    <t>Pooja Bose</t>
  </si>
  <si>
    <t>EMP1056</t>
  </si>
  <si>
    <t>Prakash Iyer</t>
  </si>
  <si>
    <t>EMP1057</t>
  </si>
  <si>
    <t>Suchitra Verma</t>
  </si>
  <si>
    <t>EMP1058</t>
  </si>
  <si>
    <t>Suchitra Sharma</t>
  </si>
  <si>
    <t>EMP1059</t>
  </si>
  <si>
    <t>Balaji Kulkarni</t>
  </si>
  <si>
    <t>EMP1060</t>
  </si>
  <si>
    <t>Anand Raman</t>
  </si>
  <si>
    <t>EMP1061</t>
  </si>
  <si>
    <t>Revathi Chowdhury</t>
  </si>
  <si>
    <t>EMP1062</t>
  </si>
  <si>
    <t>Rajesh Kapoor</t>
  </si>
  <si>
    <t>EMP1063</t>
  </si>
  <si>
    <t>Swathi Raman</t>
  </si>
  <si>
    <t>EMP1064</t>
  </si>
  <si>
    <t>Abhishek Murthy</t>
  </si>
  <si>
    <t>EMP1065</t>
  </si>
  <si>
    <t>Manoj Gupta</t>
  </si>
  <si>
    <t>EMP1066</t>
  </si>
  <si>
    <t>Suchitra Naidu</t>
  </si>
  <si>
    <t>EMP1067</t>
  </si>
  <si>
    <t>EMP1068</t>
  </si>
  <si>
    <t>Rajesh Menon</t>
  </si>
  <si>
    <t>Director</t>
  </si>
  <si>
    <t>EMP1069</t>
  </si>
  <si>
    <t>Vidya Pandey</t>
  </si>
  <si>
    <t>EMP1070</t>
  </si>
  <si>
    <t>EMP1071</t>
  </si>
  <si>
    <t>Gopal Mehta</t>
  </si>
  <si>
    <t>EMP1072</t>
  </si>
  <si>
    <t>Siddharth Sharma</t>
  </si>
  <si>
    <t>EMP1073</t>
  </si>
  <si>
    <t>Aishwarya Balasubramanian</t>
  </si>
  <si>
    <t>EMP1074</t>
  </si>
  <si>
    <t>Madhavi Chowdhury</t>
  </si>
  <si>
    <t>EMP1075</t>
  </si>
  <si>
    <t>Rohan Menon</t>
  </si>
  <si>
    <t>EMP1076</t>
  </si>
  <si>
    <t>Aishwarya Reddy</t>
  </si>
  <si>
    <t>EMP1077</t>
  </si>
  <si>
    <t>Gopal Raghunathan</t>
  </si>
  <si>
    <t>EMP1078</t>
  </si>
  <si>
    <t>Anitha Pandey</t>
  </si>
  <si>
    <t>EMP1079</t>
  </si>
  <si>
    <t>Shalini Raghunathan</t>
  </si>
  <si>
    <t>EMP1080</t>
  </si>
  <si>
    <t>Nikhil Sinha</t>
  </si>
  <si>
    <t>EMP1081</t>
  </si>
  <si>
    <t>Preethi Menon</t>
  </si>
  <si>
    <t>EMP1082</t>
  </si>
  <si>
    <t>Manoj Joshi</t>
  </si>
  <si>
    <t>EMP1083</t>
  </si>
  <si>
    <t>Ashwin Malhotra</t>
  </si>
  <si>
    <t>EMP1084</t>
  </si>
  <si>
    <t>Ravi Reddy</t>
  </si>
  <si>
    <t>EMP1085</t>
  </si>
  <si>
    <t>Uma Nair</t>
  </si>
  <si>
    <t>EMP1086</t>
  </si>
  <si>
    <t>Harish Chandran</t>
  </si>
  <si>
    <t>EMP1087</t>
  </si>
  <si>
    <t>Nithya Chowdhury</t>
  </si>
  <si>
    <t>EMP1088</t>
  </si>
  <si>
    <t>EMP1089</t>
  </si>
  <si>
    <t>Revathi Balasubramanian</t>
  </si>
  <si>
    <t>EMP1090</t>
  </si>
  <si>
    <t>Mohan Reddy</t>
  </si>
  <si>
    <t>EMP1091</t>
  </si>
  <si>
    <t>Kavya Balasubramanian</t>
  </si>
  <si>
    <t>EMP1092</t>
  </si>
  <si>
    <t>Sowmya Raghunathan</t>
  </si>
  <si>
    <t>EMP1093</t>
  </si>
  <si>
    <t>Sandhya Kulkarni</t>
  </si>
  <si>
    <t>EMP1094</t>
  </si>
  <si>
    <t>Rohan Naidu</t>
  </si>
  <si>
    <t>EMP1095</t>
  </si>
  <si>
    <t>Uma Pandey</t>
  </si>
  <si>
    <t>EMP1096</t>
  </si>
  <si>
    <t>Harish Sinha</t>
  </si>
  <si>
    <t>EMP1097</t>
  </si>
  <si>
    <t>Deepa Venkatesh</t>
  </si>
  <si>
    <t>EMP1098</t>
  </si>
  <si>
    <t>Vandana Nair</t>
  </si>
  <si>
    <t>EMP1099</t>
  </si>
  <si>
    <t>Bhavana Mehta</t>
  </si>
  <si>
    <t>EMP1100</t>
  </si>
  <si>
    <t>Aditya Natarajan</t>
  </si>
  <si>
    <t>EMP1101</t>
  </si>
  <si>
    <t>Deepak Raman</t>
  </si>
  <si>
    <t>EMP1102</t>
  </si>
  <si>
    <t>Sandhya Desai</t>
  </si>
  <si>
    <t>EMP1103</t>
  </si>
  <si>
    <t>Vikram Krishnan</t>
  </si>
  <si>
    <t>EMP1104</t>
  </si>
  <si>
    <t>Sowmya Srinivasan</t>
  </si>
  <si>
    <t>EMP1105</t>
  </si>
  <si>
    <t>Varun Raman</t>
  </si>
  <si>
    <t>EMP1106</t>
  </si>
  <si>
    <t>EMP1107</t>
  </si>
  <si>
    <t>Vikram Chowdhury</t>
  </si>
  <si>
    <t>EMP1108</t>
  </si>
  <si>
    <t>Preethi Nair</t>
  </si>
  <si>
    <t>EMP1109</t>
  </si>
  <si>
    <t>EMP1110</t>
  </si>
  <si>
    <t>Abhishek Reddy</t>
  </si>
  <si>
    <t>EMP1111</t>
  </si>
  <si>
    <t>Aishwarya Venkatesh</t>
  </si>
  <si>
    <t>EMP1112</t>
  </si>
  <si>
    <t>Revathi Nair</t>
  </si>
  <si>
    <t>EMP1113</t>
  </si>
  <si>
    <t>Lakshmi Chowdhury</t>
  </si>
  <si>
    <t>EMP1114</t>
  </si>
  <si>
    <t>Sneha Subramanian</t>
  </si>
  <si>
    <t>EMP1115</t>
  </si>
  <si>
    <t>Anand Rao</t>
  </si>
  <si>
    <t>EMP1116</t>
  </si>
  <si>
    <t>Uma Raghunathan</t>
  </si>
  <si>
    <t>EMP1117</t>
  </si>
  <si>
    <t>Aditya Raghunathan</t>
  </si>
  <si>
    <t>EMP1118</t>
  </si>
  <si>
    <t>Mohan Malhotra</t>
  </si>
  <si>
    <t>EMP1119</t>
  </si>
  <si>
    <t>Priya Pillai</t>
  </si>
  <si>
    <t>EMP1120</t>
  </si>
  <si>
    <t>Aishwarya Subramanian</t>
  </si>
  <si>
    <t>EMP1121</t>
  </si>
  <si>
    <t>Gopal Desai</t>
  </si>
  <si>
    <t>EMP1122</t>
  </si>
  <si>
    <t>Praveen Murthy</t>
  </si>
  <si>
    <t>EMP1123</t>
  </si>
  <si>
    <t>Ganesh Krishnan</t>
  </si>
  <si>
    <t>EMP1124</t>
  </si>
  <si>
    <t>Ramesh Joshi</t>
  </si>
  <si>
    <t>EMP1125</t>
  </si>
  <si>
    <t>Sandhya Reddy</t>
  </si>
  <si>
    <t>EMP1126</t>
  </si>
  <si>
    <t>Rekha Balasubramanian</t>
  </si>
  <si>
    <t>EMP1127</t>
  </si>
  <si>
    <t>Vijay Sinha</t>
  </si>
  <si>
    <t>EMP1128</t>
  </si>
  <si>
    <t>Aparna Srinivasan</t>
  </si>
  <si>
    <t>EMP1129</t>
  </si>
  <si>
    <t>Gopal Natarajan</t>
  </si>
  <si>
    <t>EMP1130</t>
  </si>
  <si>
    <t>Uma Venkatesh</t>
  </si>
  <si>
    <t>EMP1131</t>
  </si>
  <si>
    <t>Praveen Mehta</t>
  </si>
  <si>
    <t>EMP1132</t>
  </si>
  <si>
    <t>Aishwarya Kulkarni</t>
  </si>
  <si>
    <t>EMP1133</t>
  </si>
  <si>
    <t>Vikram Naidu</t>
  </si>
  <si>
    <t>EMP1134</t>
  </si>
  <si>
    <t>Praveen Raman</t>
  </si>
  <si>
    <t>EMP1135</t>
  </si>
  <si>
    <t>Anitha Subramanian</t>
  </si>
  <si>
    <t>EMP1136</t>
  </si>
  <si>
    <t>Girish Raman</t>
  </si>
  <si>
    <t>EMP1137</t>
  </si>
  <si>
    <t>Rekha Nair</t>
  </si>
  <si>
    <t>EMP1138</t>
  </si>
  <si>
    <t>Swathi Gupta</t>
  </si>
  <si>
    <t>EMP1139</t>
  </si>
  <si>
    <t>Nikhil Subramanian</t>
  </si>
  <si>
    <t>EMP1140</t>
  </si>
  <si>
    <t>Divya Murthy</t>
  </si>
  <si>
    <t>EMP1141</t>
  </si>
  <si>
    <t>Kiran Gupta</t>
  </si>
  <si>
    <t>EMP1142</t>
  </si>
  <si>
    <t>Kavya Bose</t>
  </si>
  <si>
    <t>EMP1143</t>
  </si>
  <si>
    <t>Varun Sinha</t>
  </si>
  <si>
    <t>EMP1144</t>
  </si>
  <si>
    <t>EMP1145</t>
  </si>
  <si>
    <t>Praveen Gupta</t>
  </si>
  <si>
    <t>EMP1146</t>
  </si>
  <si>
    <t>Aishwarya Desai</t>
  </si>
  <si>
    <t>EMP1147</t>
  </si>
  <si>
    <t>Lakshmi Natarajan</t>
  </si>
  <si>
    <t>EMP1148</t>
  </si>
  <si>
    <t>Siddharth Mehta</t>
  </si>
  <si>
    <t>EMP1149</t>
  </si>
  <si>
    <t>Kavya Raghunathan</t>
  </si>
  <si>
    <t>EMP1150</t>
  </si>
  <si>
    <t>Siddharth Chandran</t>
  </si>
  <si>
    <t>EMP1151</t>
  </si>
  <si>
    <t>Gopal Kulkarni</t>
  </si>
  <si>
    <t>EMP1152</t>
  </si>
  <si>
    <t>Anjali Pillai</t>
  </si>
  <si>
    <t>EMP1153</t>
  </si>
  <si>
    <t>Naveen Malhotra</t>
  </si>
  <si>
    <t>EMP1154</t>
  </si>
  <si>
    <t>Pooja Rao</t>
  </si>
  <si>
    <t>EMP1155</t>
  </si>
  <si>
    <t>Ashwin Balasubramanian</t>
  </si>
  <si>
    <t>EMP1156</t>
  </si>
  <si>
    <t>Rohan Subramanian</t>
  </si>
  <si>
    <t>EMP1157</t>
  </si>
  <si>
    <t>Aishwarya Menon</t>
  </si>
  <si>
    <t>EMP1158</t>
  </si>
  <si>
    <t>Bhavana Chowdhury</t>
  </si>
  <si>
    <t>EMP1159</t>
  </si>
  <si>
    <t>Aditya Reddy</t>
  </si>
  <si>
    <t>EMP1160</t>
  </si>
  <si>
    <t>Aishwarya Natarajan</t>
  </si>
  <si>
    <t>EMP1161</t>
  </si>
  <si>
    <t>Abhishek Pillai</t>
  </si>
  <si>
    <t>EMP1162</t>
  </si>
  <si>
    <t>Karthik Nair</t>
  </si>
  <si>
    <t>EMP1163</t>
  </si>
  <si>
    <t>Nithya Raman</t>
  </si>
  <si>
    <t>EMP1164</t>
  </si>
  <si>
    <t>Karthik Sharma</t>
  </si>
  <si>
    <t>EMP1165</t>
  </si>
  <si>
    <t>Mohan Kapoor</t>
  </si>
  <si>
    <t>EMP1166</t>
  </si>
  <si>
    <t>Naveen Venkatesh</t>
  </si>
  <si>
    <t>EMP1167</t>
  </si>
  <si>
    <t>Gopal Nair</t>
  </si>
  <si>
    <t>EMP1168</t>
  </si>
  <si>
    <t>Uma Reddy</t>
  </si>
  <si>
    <t>EMP1169</t>
  </si>
  <si>
    <t>Harish Kulkarni</t>
  </si>
  <si>
    <t>EMP1170</t>
  </si>
  <si>
    <t>Revathi Venkatesh</t>
  </si>
  <si>
    <t>EMP1171</t>
  </si>
  <si>
    <t>EMP1172</t>
  </si>
  <si>
    <t>Vandana Sinha</t>
  </si>
  <si>
    <t>EMP1173</t>
  </si>
  <si>
    <t>Lakshmi Verma</t>
  </si>
  <si>
    <t>EMP1174</t>
  </si>
  <si>
    <t>EMP1175</t>
  </si>
  <si>
    <t>Priya Reddy</t>
  </si>
  <si>
    <t>EMP1176</t>
  </si>
  <si>
    <t>Shalini Joshi</t>
  </si>
  <si>
    <t>EMP1177</t>
  </si>
  <si>
    <t>Divya Chandran</t>
  </si>
  <si>
    <t>EMP1178</t>
  </si>
  <si>
    <t>Aditya Rao</t>
  </si>
  <si>
    <t>EMP1179</t>
  </si>
  <si>
    <t>Vikram Menon</t>
  </si>
  <si>
    <t>EMP1180</t>
  </si>
  <si>
    <t>Kavya Chandran</t>
  </si>
  <si>
    <t>EMP1181</t>
  </si>
  <si>
    <t>Vidya Bose</t>
  </si>
  <si>
    <t>EMP1182</t>
  </si>
  <si>
    <t>Pooja Venkatesh</t>
  </si>
  <si>
    <t>EMP1183</t>
  </si>
  <si>
    <t>Meena Bose</t>
  </si>
  <si>
    <t>EMP1184</t>
  </si>
  <si>
    <t>Uma Sinha</t>
  </si>
  <si>
    <t>EMP1185</t>
  </si>
  <si>
    <t>Nisha Pillai</t>
  </si>
  <si>
    <t>EMP1186</t>
  </si>
  <si>
    <t>Sanjay Verma</t>
  </si>
  <si>
    <t>EMP1187</t>
  </si>
  <si>
    <t>Vidya Raman</t>
  </si>
  <si>
    <t>EMP1188</t>
  </si>
  <si>
    <t>Manoj Menon</t>
  </si>
  <si>
    <t>EMP1189</t>
  </si>
  <si>
    <t>Prakash Joshi</t>
  </si>
  <si>
    <t>EMP1190</t>
  </si>
  <si>
    <t>Siddharth Gupta</t>
  </si>
  <si>
    <t>EMP1191</t>
  </si>
  <si>
    <t>Kiran Malhotra</t>
  </si>
  <si>
    <t>EMP1192</t>
  </si>
  <si>
    <t>Siddharth Kulkarni</t>
  </si>
  <si>
    <t>EMP1193</t>
  </si>
  <si>
    <t>Madhavi Pandey</t>
  </si>
  <si>
    <t>EMP1194</t>
  </si>
  <si>
    <t>Jyothi Nair</t>
  </si>
  <si>
    <t>EMP1195</t>
  </si>
  <si>
    <t>Anjali Verma</t>
  </si>
  <si>
    <t>EMP1196</t>
  </si>
  <si>
    <t>Bhavana Subramanian</t>
  </si>
  <si>
    <t>EMP1197</t>
  </si>
  <si>
    <t>Radhika Gupta</t>
  </si>
  <si>
    <t>EMP1198</t>
  </si>
  <si>
    <t>Nikhil Rao</t>
  </si>
  <si>
    <t>EMP1199</t>
  </si>
  <si>
    <t>Siddharth Malhotra</t>
  </si>
  <si>
    <t>EMP1200</t>
  </si>
  <si>
    <t>Suchitra Joshi</t>
  </si>
  <si>
    <t>Column</t>
  </si>
  <si>
    <t>Description</t>
  </si>
  <si>
    <t>EmployeeID / EmployeeName</t>
  </si>
  <si>
    <t>Unique identifier and synthetic sample name.</t>
  </si>
  <si>
    <t>Gender / Age</t>
  </si>
  <si>
    <t>Sample demographic fields.</t>
  </si>
  <si>
    <t>Department / Designation</t>
  </si>
  <si>
    <t>8 departments across 7 seniority levels.</t>
  </si>
  <si>
    <t>6 Indian cities.</t>
  </si>
  <si>
    <t>DateOfJoining / ExperienceYears</t>
  </si>
  <si>
    <t>Tenure fields, loosely tied to seniority.</t>
  </si>
  <si>
    <t>1 (lowest) to 5 (highest).</t>
  </si>
  <si>
    <t>Single all-in gross monthly salary figure (combines basic pay and allowances) - hardcoded input.</t>
  </si>
  <si>
    <t>Yearly variable pay / bonus - hardcoded input, tied to performance rating.</t>
  </si>
  <si>
    <t>Formula: (MonthlySalary x 12) + AnnualBonus. This is the total yearly Cost to Company.</t>
  </si>
  <si>
    <t>Formula: AnnualCTC_INR / 100,000, for compact Power BI visuals.</t>
  </si>
  <si>
    <t>NOTE</t>
  </si>
  <si>
    <t>All names and figures are SYNTHETIC sample data for demonstration only. This is a simplified version with a single monthly salary figure instead of a full pay-component breakdown (Basic/HRA/PF/Gratuity).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</si>
</sst>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i/>
      <sz val="10"/>
      <color rgb="FFC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0" customWidth="1"/>
    <col min="3" max="3" width="9" customWidth="1"/>
    <col min="4" max="4" width="6" customWidth="1"/>
    <col min="5" max="5" width="18" customWidth="1"/>
    <col min="6" max="6" width="16" customWidth="1"/>
    <col min="7" max="7" width="12" customWidth="1"/>
    <col min="8" max="8" width="14" customWidth="1"/>
    <col min="9" max="10" width="10" customWidth="1"/>
    <col min="11" max="11" width="15" customWidth="1"/>
    <col min="12" max="12" width="14" customWidth="1"/>
    <col min="13" max="14" width="15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>
        <v>30</v>
      </c>
      <c r="E2" s="2" t="s">
        <v>17</v>
      </c>
      <c r="F2" s="2" t="s">
        <v>18</v>
      </c>
      <c r="G2" s="2" t="s">
        <v>19</v>
      </c>
      <c r="H2" s="3">
        <v>43846</v>
      </c>
      <c r="I2" s="2">
        <v>6.8</v>
      </c>
      <c r="J2" s="2">
        <v>3</v>
      </c>
      <c r="K2" s="4">
        <v>47000</v>
      </c>
      <c r="L2" s="4">
        <v>36400</v>
      </c>
      <c r="M2" s="5">
        <f t="shared" ref="M2:M33" si="0">K2*12+L2</f>
        <v>600400</v>
      </c>
      <c r="N2" s="6">
        <f t="shared" ref="N2:N33" si="1">M2/100000</f>
        <v>6.0039999999999996</v>
      </c>
    </row>
    <row r="3" spans="1:14" x14ac:dyDescent="0.3">
      <c r="A3" s="2" t="s">
        <v>20</v>
      </c>
      <c r="B3" s="2" t="s">
        <v>21</v>
      </c>
      <c r="C3" s="2" t="s">
        <v>16</v>
      </c>
      <c r="D3" s="2">
        <v>31</v>
      </c>
      <c r="E3" s="2" t="s">
        <v>22</v>
      </c>
      <c r="F3" s="2" t="s">
        <v>18</v>
      </c>
      <c r="G3" s="2" t="s">
        <v>19</v>
      </c>
      <c r="H3" s="3">
        <v>43987</v>
      </c>
      <c r="I3" s="2">
        <v>6.2</v>
      </c>
      <c r="J3" s="2">
        <v>3</v>
      </c>
      <c r="K3" s="4">
        <v>53200</v>
      </c>
      <c r="L3" s="4">
        <v>41200</v>
      </c>
      <c r="M3" s="5">
        <f t="shared" si="0"/>
        <v>679600</v>
      </c>
      <c r="N3" s="6">
        <f t="shared" si="1"/>
        <v>6.7960000000000003</v>
      </c>
    </row>
    <row r="4" spans="1:14" x14ac:dyDescent="0.3">
      <c r="A4" s="2" t="s">
        <v>23</v>
      </c>
      <c r="B4" s="2" t="s">
        <v>24</v>
      </c>
      <c r="C4" s="2" t="s">
        <v>25</v>
      </c>
      <c r="D4" s="2">
        <v>28</v>
      </c>
      <c r="E4" s="2" t="s">
        <v>17</v>
      </c>
      <c r="F4" s="2" t="s">
        <v>26</v>
      </c>
      <c r="G4" s="2" t="s">
        <v>19</v>
      </c>
      <c r="H4" s="3">
        <v>43505</v>
      </c>
      <c r="I4" s="2">
        <v>7.5</v>
      </c>
      <c r="J4" s="2">
        <v>3</v>
      </c>
      <c r="K4" s="4">
        <v>104100</v>
      </c>
      <c r="L4" s="4">
        <v>80700</v>
      </c>
      <c r="M4" s="5">
        <f t="shared" si="0"/>
        <v>1329900</v>
      </c>
      <c r="N4" s="6">
        <f t="shared" si="1"/>
        <v>13.298999999999999</v>
      </c>
    </row>
    <row r="5" spans="1:14" x14ac:dyDescent="0.3">
      <c r="A5" s="2" t="s">
        <v>27</v>
      </c>
      <c r="B5" s="2" t="s">
        <v>28</v>
      </c>
      <c r="C5" s="2" t="s">
        <v>25</v>
      </c>
      <c r="D5" s="2">
        <v>32</v>
      </c>
      <c r="E5" s="2" t="s">
        <v>29</v>
      </c>
      <c r="F5" s="2" t="s">
        <v>26</v>
      </c>
      <c r="G5" s="2" t="s">
        <v>19</v>
      </c>
      <c r="H5" s="3">
        <v>42804</v>
      </c>
      <c r="I5" s="2">
        <v>9.5</v>
      </c>
      <c r="J5" s="2">
        <v>2</v>
      </c>
      <c r="K5" s="4">
        <v>122800</v>
      </c>
      <c r="L5" s="4">
        <v>73700</v>
      </c>
      <c r="M5" s="5">
        <f t="shared" si="0"/>
        <v>1547300</v>
      </c>
      <c r="N5" s="6">
        <f t="shared" si="1"/>
        <v>15.473000000000001</v>
      </c>
    </row>
    <row r="6" spans="1:14" x14ac:dyDescent="0.3">
      <c r="A6" s="2" t="s">
        <v>30</v>
      </c>
      <c r="B6" s="2" t="s">
        <v>31</v>
      </c>
      <c r="C6" s="2" t="s">
        <v>16</v>
      </c>
      <c r="D6" s="2">
        <v>37</v>
      </c>
      <c r="E6" s="2" t="s">
        <v>22</v>
      </c>
      <c r="F6" s="2" t="s">
        <v>26</v>
      </c>
      <c r="G6" s="2" t="s">
        <v>19</v>
      </c>
      <c r="H6" s="3">
        <v>42215</v>
      </c>
      <c r="I6" s="2">
        <v>11.2</v>
      </c>
      <c r="J6" s="2">
        <v>5</v>
      </c>
      <c r="K6" s="4">
        <v>113300</v>
      </c>
      <c r="L6" s="4">
        <v>127500</v>
      </c>
      <c r="M6" s="5">
        <f t="shared" si="0"/>
        <v>1487100</v>
      </c>
      <c r="N6" s="6">
        <f t="shared" si="1"/>
        <v>14.871</v>
      </c>
    </row>
    <row r="7" spans="1:14" x14ac:dyDescent="0.3">
      <c r="A7" s="2" t="s">
        <v>32</v>
      </c>
      <c r="B7" s="2" t="s">
        <v>33</v>
      </c>
      <c r="C7" s="2" t="s">
        <v>16</v>
      </c>
      <c r="D7" s="2">
        <v>27</v>
      </c>
      <c r="E7" s="2" t="s">
        <v>17</v>
      </c>
      <c r="F7" s="2" t="s">
        <v>34</v>
      </c>
      <c r="G7" s="2" t="s">
        <v>35</v>
      </c>
      <c r="H7" s="3">
        <v>44306</v>
      </c>
      <c r="I7" s="2">
        <v>5.5</v>
      </c>
      <c r="J7" s="2">
        <v>4</v>
      </c>
      <c r="K7" s="4">
        <v>48300</v>
      </c>
      <c r="L7" s="4">
        <v>45900</v>
      </c>
      <c r="M7" s="5">
        <f t="shared" si="0"/>
        <v>625500</v>
      </c>
      <c r="N7" s="6">
        <f t="shared" si="1"/>
        <v>6.2549999999999999</v>
      </c>
    </row>
    <row r="8" spans="1:14" x14ac:dyDescent="0.3">
      <c r="A8" s="2" t="s">
        <v>36</v>
      </c>
      <c r="B8" s="2" t="s">
        <v>37</v>
      </c>
      <c r="C8" s="2" t="s">
        <v>16</v>
      </c>
      <c r="D8" s="2">
        <v>31</v>
      </c>
      <c r="E8" s="2" t="s">
        <v>38</v>
      </c>
      <c r="F8" s="2" t="s">
        <v>34</v>
      </c>
      <c r="G8" s="2" t="s">
        <v>35</v>
      </c>
      <c r="H8" s="3">
        <v>43756</v>
      </c>
      <c r="I8" s="2">
        <v>7</v>
      </c>
      <c r="J8" s="2">
        <v>4</v>
      </c>
      <c r="K8" s="4">
        <v>47800</v>
      </c>
      <c r="L8" s="4">
        <v>45400</v>
      </c>
      <c r="M8" s="5">
        <f t="shared" si="0"/>
        <v>619000</v>
      </c>
      <c r="N8" s="6">
        <f t="shared" si="1"/>
        <v>6.19</v>
      </c>
    </row>
    <row r="9" spans="1:14" x14ac:dyDescent="0.3">
      <c r="A9" s="2" t="s">
        <v>39</v>
      </c>
      <c r="B9" s="2" t="s">
        <v>40</v>
      </c>
      <c r="C9" s="2" t="s">
        <v>16</v>
      </c>
      <c r="D9" s="2">
        <v>29</v>
      </c>
      <c r="E9" s="2" t="s">
        <v>41</v>
      </c>
      <c r="F9" s="2" t="s">
        <v>26</v>
      </c>
      <c r="G9" s="2" t="s">
        <v>42</v>
      </c>
      <c r="H9" s="3">
        <v>43084</v>
      </c>
      <c r="I9" s="2">
        <v>8.6</v>
      </c>
      <c r="J9" s="2">
        <v>5</v>
      </c>
      <c r="K9" s="4">
        <v>118600</v>
      </c>
      <c r="L9" s="4">
        <v>133400</v>
      </c>
      <c r="M9" s="5">
        <f t="shared" si="0"/>
        <v>1556600</v>
      </c>
      <c r="N9" s="6">
        <f t="shared" si="1"/>
        <v>15.566000000000001</v>
      </c>
    </row>
    <row r="10" spans="1:14" x14ac:dyDescent="0.3">
      <c r="A10" s="2" t="s">
        <v>43</v>
      </c>
      <c r="B10" s="2" t="s">
        <v>44</v>
      </c>
      <c r="C10" s="2" t="s">
        <v>16</v>
      </c>
      <c r="D10" s="2">
        <v>30</v>
      </c>
      <c r="E10" s="2" t="s">
        <v>17</v>
      </c>
      <c r="F10" s="2" t="s">
        <v>34</v>
      </c>
      <c r="G10" s="2" t="s">
        <v>35</v>
      </c>
      <c r="H10" s="3">
        <v>44007</v>
      </c>
      <c r="I10" s="2">
        <v>6.3</v>
      </c>
      <c r="J10" s="2">
        <v>4</v>
      </c>
      <c r="K10" s="4">
        <v>60000</v>
      </c>
      <c r="L10" s="4">
        <v>57000</v>
      </c>
      <c r="M10" s="5">
        <f t="shared" si="0"/>
        <v>777000</v>
      </c>
      <c r="N10" s="6">
        <f t="shared" si="1"/>
        <v>7.77</v>
      </c>
    </row>
    <row r="11" spans="1:14" x14ac:dyDescent="0.3">
      <c r="A11" s="2" t="s">
        <v>45</v>
      </c>
      <c r="B11" s="2" t="s">
        <v>46</v>
      </c>
      <c r="C11" s="2" t="s">
        <v>25</v>
      </c>
      <c r="D11" s="2">
        <v>43</v>
      </c>
      <c r="E11" s="2" t="s">
        <v>47</v>
      </c>
      <c r="F11" s="2" t="s">
        <v>48</v>
      </c>
      <c r="G11" s="2" t="s">
        <v>42</v>
      </c>
      <c r="H11" s="3">
        <v>39873</v>
      </c>
      <c r="I11" s="2">
        <v>17.7</v>
      </c>
      <c r="J11" s="2">
        <v>4</v>
      </c>
      <c r="K11" s="4">
        <v>432100</v>
      </c>
      <c r="L11" s="4">
        <v>410500</v>
      </c>
      <c r="M11" s="5">
        <f t="shared" si="0"/>
        <v>5595700</v>
      </c>
      <c r="N11" s="6">
        <f t="shared" si="1"/>
        <v>55.957000000000001</v>
      </c>
    </row>
    <row r="12" spans="1:14" x14ac:dyDescent="0.3">
      <c r="A12" s="2" t="s">
        <v>49</v>
      </c>
      <c r="B12" s="2" t="s">
        <v>50</v>
      </c>
      <c r="C12" s="2" t="s">
        <v>16</v>
      </c>
      <c r="D12" s="2">
        <v>24</v>
      </c>
      <c r="E12" s="2" t="s">
        <v>38</v>
      </c>
      <c r="F12" s="2" t="s">
        <v>18</v>
      </c>
      <c r="G12" s="2" t="s">
        <v>51</v>
      </c>
      <c r="H12" s="3">
        <v>45284</v>
      </c>
      <c r="I12" s="2">
        <v>2.7</v>
      </c>
      <c r="J12" s="2">
        <v>4</v>
      </c>
      <c r="K12" s="4">
        <v>46400</v>
      </c>
      <c r="L12" s="4">
        <v>44100</v>
      </c>
      <c r="M12" s="5">
        <f t="shared" si="0"/>
        <v>600900</v>
      </c>
      <c r="N12" s="6">
        <f t="shared" si="1"/>
        <v>6.0090000000000003</v>
      </c>
    </row>
    <row r="13" spans="1:14" x14ac:dyDescent="0.3">
      <c r="A13" s="2" t="s">
        <v>52</v>
      </c>
      <c r="B13" s="2" t="s">
        <v>53</v>
      </c>
      <c r="C13" s="2" t="s">
        <v>16</v>
      </c>
      <c r="D13" s="2">
        <v>27</v>
      </c>
      <c r="E13" s="2" t="s">
        <v>54</v>
      </c>
      <c r="F13" s="2" t="s">
        <v>55</v>
      </c>
      <c r="G13" s="2" t="s">
        <v>42</v>
      </c>
      <c r="H13" s="3">
        <v>44277</v>
      </c>
      <c r="I13" s="2">
        <v>5.5</v>
      </c>
      <c r="J13" s="2">
        <v>3</v>
      </c>
      <c r="K13" s="4">
        <v>64100</v>
      </c>
      <c r="L13" s="4">
        <v>49700</v>
      </c>
      <c r="M13" s="5">
        <f t="shared" si="0"/>
        <v>818900</v>
      </c>
      <c r="N13" s="6">
        <f t="shared" si="1"/>
        <v>8.1890000000000001</v>
      </c>
    </row>
    <row r="14" spans="1:14" x14ac:dyDescent="0.3">
      <c r="A14" s="2" t="s">
        <v>56</v>
      </c>
      <c r="B14" s="2" t="s">
        <v>57</v>
      </c>
      <c r="C14" s="2" t="s">
        <v>25</v>
      </c>
      <c r="D14" s="2">
        <v>23</v>
      </c>
      <c r="E14" s="2" t="s">
        <v>41</v>
      </c>
      <c r="F14" s="2" t="s">
        <v>58</v>
      </c>
      <c r="G14" s="2" t="s">
        <v>19</v>
      </c>
      <c r="H14" s="3">
        <v>45877</v>
      </c>
      <c r="I14" s="2">
        <v>1</v>
      </c>
      <c r="J14" s="2">
        <v>3</v>
      </c>
      <c r="K14" s="4">
        <v>44800</v>
      </c>
      <c r="L14" s="4">
        <v>34700</v>
      </c>
      <c r="M14" s="5">
        <f t="shared" si="0"/>
        <v>572300</v>
      </c>
      <c r="N14" s="6">
        <f t="shared" si="1"/>
        <v>5.7229999999999999</v>
      </c>
    </row>
    <row r="15" spans="1:14" x14ac:dyDescent="0.3">
      <c r="A15" s="2" t="s">
        <v>59</v>
      </c>
      <c r="B15" s="2" t="s">
        <v>60</v>
      </c>
      <c r="C15" s="2" t="s">
        <v>16</v>
      </c>
      <c r="D15" s="2">
        <v>27</v>
      </c>
      <c r="E15" s="2" t="s">
        <v>54</v>
      </c>
      <c r="F15" s="2" t="s">
        <v>61</v>
      </c>
      <c r="G15" s="2" t="s">
        <v>35</v>
      </c>
      <c r="H15" s="3">
        <v>43960</v>
      </c>
      <c r="I15" s="2">
        <v>6.5</v>
      </c>
      <c r="J15" s="2">
        <v>3</v>
      </c>
      <c r="K15" s="4">
        <v>82600</v>
      </c>
      <c r="L15" s="4">
        <v>64000</v>
      </c>
      <c r="M15" s="5">
        <f t="shared" si="0"/>
        <v>1055200</v>
      </c>
      <c r="N15" s="6">
        <f t="shared" si="1"/>
        <v>10.552</v>
      </c>
    </row>
    <row r="16" spans="1:14" x14ac:dyDescent="0.3">
      <c r="A16" s="2" t="s">
        <v>62</v>
      </c>
      <c r="B16" s="2" t="s">
        <v>63</v>
      </c>
      <c r="C16" s="2" t="s">
        <v>16</v>
      </c>
      <c r="D16" s="2">
        <v>25</v>
      </c>
      <c r="E16" s="2" t="s">
        <v>17</v>
      </c>
      <c r="F16" s="2" t="s">
        <v>61</v>
      </c>
      <c r="G16" s="2" t="s">
        <v>64</v>
      </c>
      <c r="H16" s="3">
        <v>44737</v>
      </c>
      <c r="I16" s="2">
        <v>4.3</v>
      </c>
      <c r="J16" s="2">
        <v>3</v>
      </c>
      <c r="K16" s="4">
        <v>83900</v>
      </c>
      <c r="L16" s="4">
        <v>65000</v>
      </c>
      <c r="M16" s="5">
        <f t="shared" si="0"/>
        <v>1071800</v>
      </c>
      <c r="N16" s="6">
        <f t="shared" si="1"/>
        <v>10.718</v>
      </c>
    </row>
    <row r="17" spans="1:14" x14ac:dyDescent="0.3">
      <c r="A17" s="2" t="s">
        <v>65</v>
      </c>
      <c r="B17" s="2" t="s">
        <v>66</v>
      </c>
      <c r="C17" s="2" t="s">
        <v>25</v>
      </c>
      <c r="D17" s="2">
        <v>27</v>
      </c>
      <c r="E17" s="2" t="s">
        <v>41</v>
      </c>
      <c r="F17" s="2" t="s">
        <v>61</v>
      </c>
      <c r="G17" s="2" t="s">
        <v>51</v>
      </c>
      <c r="H17" s="3">
        <v>45198</v>
      </c>
      <c r="I17" s="2">
        <v>2.9</v>
      </c>
      <c r="J17" s="2">
        <v>3</v>
      </c>
      <c r="K17" s="4">
        <v>81000</v>
      </c>
      <c r="L17" s="4">
        <v>62800</v>
      </c>
      <c r="M17" s="5">
        <f t="shared" si="0"/>
        <v>1034800</v>
      </c>
      <c r="N17" s="6">
        <f t="shared" si="1"/>
        <v>10.348000000000001</v>
      </c>
    </row>
    <row r="18" spans="1:14" x14ac:dyDescent="0.3">
      <c r="A18" s="2" t="s">
        <v>67</v>
      </c>
      <c r="B18" s="2" t="s">
        <v>68</v>
      </c>
      <c r="C18" s="2" t="s">
        <v>25</v>
      </c>
      <c r="D18" s="2">
        <v>22</v>
      </c>
      <c r="E18" s="2" t="s">
        <v>29</v>
      </c>
      <c r="F18" s="2" t="s">
        <v>34</v>
      </c>
      <c r="G18" s="2" t="s">
        <v>69</v>
      </c>
      <c r="H18" s="3">
        <v>45564</v>
      </c>
      <c r="I18" s="2">
        <v>2.1</v>
      </c>
      <c r="J18" s="2">
        <v>4</v>
      </c>
      <c r="K18" s="4">
        <v>47900</v>
      </c>
      <c r="L18" s="4">
        <v>45500</v>
      </c>
      <c r="M18" s="5">
        <f t="shared" si="0"/>
        <v>620300</v>
      </c>
      <c r="N18" s="6">
        <f t="shared" si="1"/>
        <v>6.2030000000000003</v>
      </c>
    </row>
    <row r="19" spans="1:14" x14ac:dyDescent="0.3">
      <c r="A19" s="2" t="s">
        <v>70</v>
      </c>
      <c r="B19" s="2" t="s">
        <v>71</v>
      </c>
      <c r="C19" s="2" t="s">
        <v>16</v>
      </c>
      <c r="D19" s="2">
        <v>22</v>
      </c>
      <c r="E19" s="2" t="s">
        <v>72</v>
      </c>
      <c r="F19" s="2" t="s">
        <v>73</v>
      </c>
      <c r="G19" s="2" t="s">
        <v>69</v>
      </c>
      <c r="H19" s="3">
        <v>45794</v>
      </c>
      <c r="I19" s="2">
        <v>1.4</v>
      </c>
      <c r="J19" s="2">
        <v>4</v>
      </c>
      <c r="K19" s="4">
        <v>35500</v>
      </c>
      <c r="L19" s="4">
        <v>33700</v>
      </c>
      <c r="M19" s="5">
        <f t="shared" si="0"/>
        <v>459700</v>
      </c>
      <c r="N19" s="6">
        <f t="shared" si="1"/>
        <v>4.5970000000000004</v>
      </c>
    </row>
    <row r="20" spans="1:14" x14ac:dyDescent="0.3">
      <c r="A20" s="2" t="s">
        <v>74</v>
      </c>
      <c r="B20" s="2" t="s">
        <v>75</v>
      </c>
      <c r="C20" s="2" t="s">
        <v>16</v>
      </c>
      <c r="D20" s="2">
        <v>31</v>
      </c>
      <c r="E20" s="2" t="s">
        <v>22</v>
      </c>
      <c r="F20" s="2" t="s">
        <v>76</v>
      </c>
      <c r="G20" s="2" t="s">
        <v>51</v>
      </c>
      <c r="H20" s="3">
        <v>42094</v>
      </c>
      <c r="I20" s="2">
        <v>11.4</v>
      </c>
      <c r="J20" s="2">
        <v>3</v>
      </c>
      <c r="K20" s="4">
        <v>174800</v>
      </c>
      <c r="L20" s="4">
        <v>135500</v>
      </c>
      <c r="M20" s="5">
        <f t="shared" si="0"/>
        <v>2233100</v>
      </c>
      <c r="N20" s="6">
        <f t="shared" si="1"/>
        <v>22.331</v>
      </c>
    </row>
    <row r="21" spans="1:14" x14ac:dyDescent="0.3">
      <c r="A21" s="2" t="s">
        <v>77</v>
      </c>
      <c r="B21" s="2" t="s">
        <v>78</v>
      </c>
      <c r="C21" s="2" t="s">
        <v>25</v>
      </c>
      <c r="D21" s="2">
        <v>32</v>
      </c>
      <c r="E21" s="2" t="s">
        <v>29</v>
      </c>
      <c r="F21" s="2" t="s">
        <v>26</v>
      </c>
      <c r="G21" s="2" t="s">
        <v>51</v>
      </c>
      <c r="H21" s="3">
        <v>43486</v>
      </c>
      <c r="I21" s="2">
        <v>7.7</v>
      </c>
      <c r="J21" s="2">
        <v>4</v>
      </c>
      <c r="K21" s="4">
        <v>105200</v>
      </c>
      <c r="L21" s="4">
        <v>99900</v>
      </c>
      <c r="M21" s="5">
        <f t="shared" si="0"/>
        <v>1362300</v>
      </c>
      <c r="N21" s="6">
        <f t="shared" si="1"/>
        <v>13.622999999999999</v>
      </c>
    </row>
    <row r="22" spans="1:14" x14ac:dyDescent="0.3">
      <c r="A22" s="2" t="s">
        <v>79</v>
      </c>
      <c r="B22" s="2" t="s">
        <v>80</v>
      </c>
      <c r="C22" s="2" t="s">
        <v>16</v>
      </c>
      <c r="D22" s="2">
        <v>26</v>
      </c>
      <c r="E22" s="2" t="s">
        <v>38</v>
      </c>
      <c r="F22" s="2" t="s">
        <v>61</v>
      </c>
      <c r="G22" s="2" t="s">
        <v>64</v>
      </c>
      <c r="H22" s="3">
        <v>43947</v>
      </c>
      <c r="I22" s="2">
        <v>6.4</v>
      </c>
      <c r="J22" s="2">
        <v>4</v>
      </c>
      <c r="K22" s="4">
        <v>82000</v>
      </c>
      <c r="L22" s="4">
        <v>77900</v>
      </c>
      <c r="M22" s="5">
        <f t="shared" si="0"/>
        <v>1061900</v>
      </c>
      <c r="N22" s="6">
        <f t="shared" si="1"/>
        <v>10.619</v>
      </c>
    </row>
    <row r="23" spans="1:14" x14ac:dyDescent="0.3">
      <c r="A23" s="2" t="s">
        <v>81</v>
      </c>
      <c r="B23" s="2" t="s">
        <v>82</v>
      </c>
      <c r="C23" s="2" t="s">
        <v>16</v>
      </c>
      <c r="D23" s="2">
        <v>37</v>
      </c>
      <c r="E23" s="2" t="s">
        <v>72</v>
      </c>
      <c r="F23" s="2" t="s">
        <v>48</v>
      </c>
      <c r="G23" s="2" t="s">
        <v>64</v>
      </c>
      <c r="H23" s="3">
        <v>40192</v>
      </c>
      <c r="I23" s="2">
        <v>16.7</v>
      </c>
      <c r="J23" s="2">
        <v>3</v>
      </c>
      <c r="K23" s="4">
        <v>448000</v>
      </c>
      <c r="L23" s="4">
        <v>347200</v>
      </c>
      <c r="M23" s="5">
        <f t="shared" si="0"/>
        <v>5723200</v>
      </c>
      <c r="N23" s="6">
        <f t="shared" si="1"/>
        <v>57.231999999999999</v>
      </c>
    </row>
    <row r="24" spans="1:14" x14ac:dyDescent="0.3">
      <c r="A24" s="2" t="s">
        <v>83</v>
      </c>
      <c r="B24" s="2" t="s">
        <v>84</v>
      </c>
      <c r="C24" s="2" t="s">
        <v>25</v>
      </c>
      <c r="D24" s="2">
        <v>27</v>
      </c>
      <c r="E24" s="2" t="s">
        <v>38</v>
      </c>
      <c r="F24" s="2" t="s">
        <v>58</v>
      </c>
      <c r="G24" s="2" t="s">
        <v>35</v>
      </c>
      <c r="H24" s="3">
        <v>44460</v>
      </c>
      <c r="I24" s="2">
        <v>5</v>
      </c>
      <c r="J24" s="2">
        <v>4</v>
      </c>
      <c r="K24" s="4">
        <v>44000</v>
      </c>
      <c r="L24" s="4">
        <v>41800</v>
      </c>
      <c r="M24" s="5">
        <f t="shared" si="0"/>
        <v>569800</v>
      </c>
      <c r="N24" s="6">
        <f t="shared" si="1"/>
        <v>5.6980000000000004</v>
      </c>
    </row>
    <row r="25" spans="1:14" x14ac:dyDescent="0.3">
      <c r="A25" s="2" t="s">
        <v>85</v>
      </c>
      <c r="B25" s="2" t="s">
        <v>86</v>
      </c>
      <c r="C25" s="2" t="s">
        <v>25</v>
      </c>
      <c r="D25" s="2">
        <v>25</v>
      </c>
      <c r="E25" s="2" t="s">
        <v>29</v>
      </c>
      <c r="F25" s="2" t="s">
        <v>18</v>
      </c>
      <c r="G25" s="2" t="s">
        <v>19</v>
      </c>
      <c r="H25" s="3">
        <v>45237</v>
      </c>
      <c r="I25" s="2">
        <v>3</v>
      </c>
      <c r="J25" s="2">
        <v>2</v>
      </c>
      <c r="K25" s="4">
        <v>61600</v>
      </c>
      <c r="L25" s="4">
        <v>37000</v>
      </c>
      <c r="M25" s="5">
        <f t="shared" si="0"/>
        <v>776200</v>
      </c>
      <c r="N25" s="6">
        <f t="shared" si="1"/>
        <v>7.7619999999999996</v>
      </c>
    </row>
    <row r="26" spans="1:14" x14ac:dyDescent="0.3">
      <c r="A26" s="2" t="s">
        <v>87</v>
      </c>
      <c r="B26" s="2" t="s">
        <v>88</v>
      </c>
      <c r="C26" s="2" t="s">
        <v>16</v>
      </c>
      <c r="D26" s="2">
        <v>28</v>
      </c>
      <c r="E26" s="2" t="s">
        <v>72</v>
      </c>
      <c r="F26" s="2" t="s">
        <v>58</v>
      </c>
      <c r="G26" s="2" t="s">
        <v>69</v>
      </c>
      <c r="H26" s="3">
        <v>44317</v>
      </c>
      <c r="I26" s="2">
        <v>5.5</v>
      </c>
      <c r="J26" s="2">
        <v>5</v>
      </c>
      <c r="K26" s="4">
        <v>41300</v>
      </c>
      <c r="L26" s="4">
        <v>46500</v>
      </c>
      <c r="M26" s="5">
        <f t="shared" si="0"/>
        <v>542100</v>
      </c>
      <c r="N26" s="6">
        <f t="shared" si="1"/>
        <v>5.4210000000000003</v>
      </c>
    </row>
    <row r="27" spans="1:14" x14ac:dyDescent="0.3">
      <c r="A27" s="2" t="s">
        <v>89</v>
      </c>
      <c r="B27" s="2" t="s">
        <v>90</v>
      </c>
      <c r="C27" s="2" t="s">
        <v>16</v>
      </c>
      <c r="D27" s="2">
        <v>27</v>
      </c>
      <c r="E27" s="2" t="s">
        <v>38</v>
      </c>
      <c r="F27" s="2" t="s">
        <v>58</v>
      </c>
      <c r="G27" s="2" t="s">
        <v>19</v>
      </c>
      <c r="H27" s="3">
        <v>44917</v>
      </c>
      <c r="I27" s="2">
        <v>3.7</v>
      </c>
      <c r="J27" s="2">
        <v>3</v>
      </c>
      <c r="K27" s="4">
        <v>36300</v>
      </c>
      <c r="L27" s="4">
        <v>28100</v>
      </c>
      <c r="M27" s="5">
        <f t="shared" si="0"/>
        <v>463700</v>
      </c>
      <c r="N27" s="6">
        <f t="shared" si="1"/>
        <v>4.6369999999999996</v>
      </c>
    </row>
    <row r="28" spans="1:14" x14ac:dyDescent="0.3">
      <c r="A28" s="2" t="s">
        <v>91</v>
      </c>
      <c r="B28" s="2" t="s">
        <v>92</v>
      </c>
      <c r="C28" s="2" t="s">
        <v>16</v>
      </c>
      <c r="D28" s="2">
        <v>25</v>
      </c>
      <c r="E28" s="2" t="s">
        <v>38</v>
      </c>
      <c r="F28" s="2" t="s">
        <v>34</v>
      </c>
      <c r="G28" s="2" t="s">
        <v>64</v>
      </c>
      <c r="H28" s="3">
        <v>44871</v>
      </c>
      <c r="I28" s="2">
        <v>3.7</v>
      </c>
      <c r="J28" s="2">
        <v>4</v>
      </c>
      <c r="K28" s="4">
        <v>48400</v>
      </c>
      <c r="L28" s="4">
        <v>46000</v>
      </c>
      <c r="M28" s="5">
        <f t="shared" si="0"/>
        <v>626800</v>
      </c>
      <c r="N28" s="6">
        <f t="shared" si="1"/>
        <v>6.2679999999999998</v>
      </c>
    </row>
    <row r="29" spans="1:14" x14ac:dyDescent="0.3">
      <c r="A29" s="2" t="s">
        <v>93</v>
      </c>
      <c r="B29" s="2" t="s">
        <v>94</v>
      </c>
      <c r="C29" s="2" t="s">
        <v>16</v>
      </c>
      <c r="D29" s="2">
        <v>35</v>
      </c>
      <c r="E29" s="2" t="s">
        <v>72</v>
      </c>
      <c r="F29" s="2" t="s">
        <v>48</v>
      </c>
      <c r="G29" s="2" t="s">
        <v>69</v>
      </c>
      <c r="H29" s="3">
        <v>41129</v>
      </c>
      <c r="I29" s="2">
        <v>14.1</v>
      </c>
      <c r="J29" s="2">
        <v>3</v>
      </c>
      <c r="K29" s="4">
        <v>483500</v>
      </c>
      <c r="L29" s="4">
        <v>374700</v>
      </c>
      <c r="M29" s="5">
        <f t="shared" si="0"/>
        <v>6176700</v>
      </c>
      <c r="N29" s="6">
        <f t="shared" si="1"/>
        <v>61.767000000000003</v>
      </c>
    </row>
    <row r="30" spans="1:14" x14ac:dyDescent="0.3">
      <c r="A30" s="2" t="s">
        <v>95</v>
      </c>
      <c r="B30" s="2" t="s">
        <v>96</v>
      </c>
      <c r="C30" s="2" t="s">
        <v>16</v>
      </c>
      <c r="D30" s="2">
        <v>29</v>
      </c>
      <c r="E30" s="2" t="s">
        <v>47</v>
      </c>
      <c r="F30" s="2" t="s">
        <v>18</v>
      </c>
      <c r="G30" s="2" t="s">
        <v>69</v>
      </c>
      <c r="H30" s="3">
        <v>44906</v>
      </c>
      <c r="I30" s="2">
        <v>3.7</v>
      </c>
      <c r="J30" s="2">
        <v>3</v>
      </c>
      <c r="K30" s="4">
        <v>55800</v>
      </c>
      <c r="L30" s="4">
        <v>43200</v>
      </c>
      <c r="M30" s="5">
        <f t="shared" si="0"/>
        <v>712800</v>
      </c>
      <c r="N30" s="6">
        <f t="shared" si="1"/>
        <v>7.1280000000000001</v>
      </c>
    </row>
    <row r="31" spans="1:14" x14ac:dyDescent="0.3">
      <c r="A31" s="2" t="s">
        <v>97</v>
      </c>
      <c r="B31" s="2" t="s">
        <v>98</v>
      </c>
      <c r="C31" s="2" t="s">
        <v>16</v>
      </c>
      <c r="D31" s="2">
        <v>24</v>
      </c>
      <c r="E31" s="2" t="s">
        <v>17</v>
      </c>
      <c r="F31" s="2" t="s">
        <v>18</v>
      </c>
      <c r="G31" s="2" t="s">
        <v>35</v>
      </c>
      <c r="H31" s="3">
        <v>45532</v>
      </c>
      <c r="I31" s="2">
        <v>2</v>
      </c>
      <c r="J31" s="2">
        <v>3</v>
      </c>
      <c r="K31" s="4">
        <v>57200</v>
      </c>
      <c r="L31" s="4">
        <v>44300</v>
      </c>
      <c r="M31" s="5">
        <f t="shared" si="0"/>
        <v>730700</v>
      </c>
      <c r="N31" s="6">
        <f t="shared" si="1"/>
        <v>7.3070000000000004</v>
      </c>
    </row>
    <row r="32" spans="1:14" x14ac:dyDescent="0.3">
      <c r="A32" s="2" t="s">
        <v>99</v>
      </c>
      <c r="B32" s="2" t="s">
        <v>100</v>
      </c>
      <c r="C32" s="2" t="s">
        <v>16</v>
      </c>
      <c r="D32" s="2">
        <v>34</v>
      </c>
      <c r="E32" s="2" t="s">
        <v>41</v>
      </c>
      <c r="F32" s="2" t="s">
        <v>76</v>
      </c>
      <c r="G32" s="2" t="s">
        <v>42</v>
      </c>
      <c r="H32" s="3">
        <v>41735</v>
      </c>
      <c r="I32" s="2">
        <v>12.6</v>
      </c>
      <c r="J32" s="2">
        <v>1</v>
      </c>
      <c r="K32" s="4">
        <v>197500</v>
      </c>
      <c r="L32" s="4">
        <v>83900</v>
      </c>
      <c r="M32" s="5">
        <f t="shared" si="0"/>
        <v>2453900</v>
      </c>
      <c r="N32" s="6">
        <f t="shared" si="1"/>
        <v>24.539000000000001</v>
      </c>
    </row>
    <row r="33" spans="1:14" x14ac:dyDescent="0.3">
      <c r="A33" s="2" t="s">
        <v>101</v>
      </c>
      <c r="B33" s="2" t="s">
        <v>102</v>
      </c>
      <c r="C33" s="2" t="s">
        <v>16</v>
      </c>
      <c r="D33" s="2">
        <v>23</v>
      </c>
      <c r="E33" s="2" t="s">
        <v>38</v>
      </c>
      <c r="F33" s="2" t="s">
        <v>73</v>
      </c>
      <c r="G33" s="2" t="s">
        <v>69</v>
      </c>
      <c r="H33" s="3">
        <v>45157</v>
      </c>
      <c r="I33" s="2">
        <v>3.2</v>
      </c>
      <c r="J33" s="2">
        <v>2</v>
      </c>
      <c r="K33" s="4">
        <v>43300</v>
      </c>
      <c r="L33" s="4">
        <v>26000</v>
      </c>
      <c r="M33" s="5">
        <f t="shared" si="0"/>
        <v>545600</v>
      </c>
      <c r="N33" s="6">
        <f t="shared" si="1"/>
        <v>5.4560000000000004</v>
      </c>
    </row>
    <row r="34" spans="1:14" x14ac:dyDescent="0.3">
      <c r="A34" s="2" t="s">
        <v>103</v>
      </c>
      <c r="B34" s="2" t="s">
        <v>104</v>
      </c>
      <c r="C34" s="2" t="s">
        <v>16</v>
      </c>
      <c r="D34" s="2">
        <v>36</v>
      </c>
      <c r="E34" s="2" t="s">
        <v>38</v>
      </c>
      <c r="F34" s="2" t="s">
        <v>26</v>
      </c>
      <c r="G34" s="2" t="s">
        <v>64</v>
      </c>
      <c r="H34" s="3">
        <v>42397</v>
      </c>
      <c r="I34" s="2">
        <v>10.5</v>
      </c>
      <c r="J34" s="2">
        <v>2</v>
      </c>
      <c r="K34" s="4">
        <v>121400</v>
      </c>
      <c r="L34" s="4">
        <v>72800</v>
      </c>
      <c r="M34" s="5">
        <f t="shared" ref="M34:M65" si="2">K34*12+L34</f>
        <v>1529600</v>
      </c>
      <c r="N34" s="6">
        <f t="shared" ref="N34:N65" si="3">M34/100000</f>
        <v>15.295999999999999</v>
      </c>
    </row>
    <row r="35" spans="1:14" x14ac:dyDescent="0.3">
      <c r="A35" s="2" t="s">
        <v>105</v>
      </c>
      <c r="B35" s="2" t="s">
        <v>106</v>
      </c>
      <c r="C35" s="2" t="s">
        <v>16</v>
      </c>
      <c r="D35" s="2">
        <v>32</v>
      </c>
      <c r="E35" s="2" t="s">
        <v>38</v>
      </c>
      <c r="F35" s="2" t="s">
        <v>55</v>
      </c>
      <c r="G35" s="2" t="s">
        <v>69</v>
      </c>
      <c r="H35" s="3">
        <v>43765</v>
      </c>
      <c r="I35" s="2">
        <v>7</v>
      </c>
      <c r="J35" s="2">
        <v>5</v>
      </c>
      <c r="K35" s="4">
        <v>71800</v>
      </c>
      <c r="L35" s="4">
        <v>80800</v>
      </c>
      <c r="M35" s="5">
        <f t="shared" si="2"/>
        <v>942400</v>
      </c>
      <c r="N35" s="6">
        <f t="shared" si="3"/>
        <v>9.4239999999999995</v>
      </c>
    </row>
    <row r="36" spans="1:14" x14ac:dyDescent="0.3">
      <c r="A36" s="2" t="s">
        <v>107</v>
      </c>
      <c r="B36" s="2" t="s">
        <v>108</v>
      </c>
      <c r="C36" s="2" t="s">
        <v>16</v>
      </c>
      <c r="D36" s="2">
        <v>25</v>
      </c>
      <c r="E36" s="2" t="s">
        <v>29</v>
      </c>
      <c r="F36" s="2" t="s">
        <v>73</v>
      </c>
      <c r="G36" s="2" t="s">
        <v>64</v>
      </c>
      <c r="H36" s="3">
        <v>45471</v>
      </c>
      <c r="I36" s="2">
        <v>2.1</v>
      </c>
      <c r="J36" s="2">
        <v>4</v>
      </c>
      <c r="K36" s="4">
        <v>44000</v>
      </c>
      <c r="L36" s="4">
        <v>41800</v>
      </c>
      <c r="M36" s="5">
        <f t="shared" si="2"/>
        <v>569800</v>
      </c>
      <c r="N36" s="6">
        <f t="shared" si="3"/>
        <v>5.6980000000000004</v>
      </c>
    </row>
    <row r="37" spans="1:14" x14ac:dyDescent="0.3">
      <c r="A37" s="2" t="s">
        <v>109</v>
      </c>
      <c r="B37" s="2" t="s">
        <v>110</v>
      </c>
      <c r="C37" s="2" t="s">
        <v>16</v>
      </c>
      <c r="D37" s="2">
        <v>33</v>
      </c>
      <c r="E37" s="2" t="s">
        <v>38</v>
      </c>
      <c r="F37" s="2" t="s">
        <v>26</v>
      </c>
      <c r="G37" s="2" t="s">
        <v>42</v>
      </c>
      <c r="H37" s="3">
        <v>43651</v>
      </c>
      <c r="I37" s="2">
        <v>7.2</v>
      </c>
      <c r="J37" s="2">
        <v>3</v>
      </c>
      <c r="K37" s="4">
        <v>128200</v>
      </c>
      <c r="L37" s="4">
        <v>99400</v>
      </c>
      <c r="M37" s="5">
        <f t="shared" si="2"/>
        <v>1637800</v>
      </c>
      <c r="N37" s="6">
        <f t="shared" si="3"/>
        <v>16.378</v>
      </c>
    </row>
    <row r="38" spans="1:14" x14ac:dyDescent="0.3">
      <c r="A38" s="2" t="s">
        <v>111</v>
      </c>
      <c r="B38" s="2" t="s">
        <v>112</v>
      </c>
      <c r="C38" s="2" t="s">
        <v>25</v>
      </c>
      <c r="D38" s="2">
        <v>29</v>
      </c>
      <c r="E38" s="2" t="s">
        <v>22</v>
      </c>
      <c r="F38" s="2" t="s">
        <v>26</v>
      </c>
      <c r="G38" s="2" t="s">
        <v>42</v>
      </c>
      <c r="H38" s="3">
        <v>43382</v>
      </c>
      <c r="I38" s="2">
        <v>7.8</v>
      </c>
      <c r="J38" s="2">
        <v>2</v>
      </c>
      <c r="K38" s="4">
        <v>116300</v>
      </c>
      <c r="L38" s="4">
        <v>69800</v>
      </c>
      <c r="M38" s="5">
        <f t="shared" si="2"/>
        <v>1465400</v>
      </c>
      <c r="N38" s="6">
        <f t="shared" si="3"/>
        <v>14.654</v>
      </c>
    </row>
    <row r="39" spans="1:14" x14ac:dyDescent="0.3">
      <c r="A39" s="2" t="s">
        <v>113</v>
      </c>
      <c r="B39" s="2" t="s">
        <v>114</v>
      </c>
      <c r="C39" s="2" t="s">
        <v>25</v>
      </c>
      <c r="D39" s="2">
        <v>24</v>
      </c>
      <c r="E39" s="2" t="s">
        <v>29</v>
      </c>
      <c r="F39" s="2" t="s">
        <v>34</v>
      </c>
      <c r="G39" s="2" t="s">
        <v>42</v>
      </c>
      <c r="H39" s="3">
        <v>45259</v>
      </c>
      <c r="I39" s="2">
        <v>2.9</v>
      </c>
      <c r="J39" s="2">
        <v>3</v>
      </c>
      <c r="K39" s="4">
        <v>54700</v>
      </c>
      <c r="L39" s="4">
        <v>42400</v>
      </c>
      <c r="M39" s="5">
        <f t="shared" si="2"/>
        <v>698800</v>
      </c>
      <c r="N39" s="6">
        <f t="shared" si="3"/>
        <v>6.9880000000000004</v>
      </c>
    </row>
    <row r="40" spans="1:14" x14ac:dyDescent="0.3">
      <c r="A40" s="2" t="s">
        <v>115</v>
      </c>
      <c r="B40" s="2" t="s">
        <v>116</v>
      </c>
      <c r="C40" s="2" t="s">
        <v>16</v>
      </c>
      <c r="D40" s="2">
        <v>29</v>
      </c>
      <c r="E40" s="2" t="s">
        <v>38</v>
      </c>
      <c r="F40" s="2" t="s">
        <v>34</v>
      </c>
      <c r="G40" s="2" t="s">
        <v>69</v>
      </c>
      <c r="H40" s="3">
        <v>44381</v>
      </c>
      <c r="I40" s="2">
        <v>5.3</v>
      </c>
      <c r="J40" s="2">
        <v>3</v>
      </c>
      <c r="K40" s="4">
        <v>60300</v>
      </c>
      <c r="L40" s="4">
        <v>46700</v>
      </c>
      <c r="M40" s="5">
        <f t="shared" si="2"/>
        <v>770300</v>
      </c>
      <c r="N40" s="6">
        <f t="shared" si="3"/>
        <v>7.7030000000000003</v>
      </c>
    </row>
    <row r="41" spans="1:14" x14ac:dyDescent="0.3">
      <c r="A41" s="2" t="s">
        <v>117</v>
      </c>
      <c r="B41" s="2" t="s">
        <v>118</v>
      </c>
      <c r="C41" s="2" t="s">
        <v>16</v>
      </c>
      <c r="D41" s="2">
        <v>28</v>
      </c>
      <c r="E41" s="2" t="s">
        <v>54</v>
      </c>
      <c r="F41" s="2" t="s">
        <v>26</v>
      </c>
      <c r="G41" s="2" t="s">
        <v>51</v>
      </c>
      <c r="H41" s="3">
        <v>43079</v>
      </c>
      <c r="I41" s="2">
        <v>8.6999999999999993</v>
      </c>
      <c r="J41" s="2">
        <v>5</v>
      </c>
      <c r="K41" s="4">
        <v>138800</v>
      </c>
      <c r="L41" s="4">
        <v>156200</v>
      </c>
      <c r="M41" s="5">
        <f t="shared" si="2"/>
        <v>1821800</v>
      </c>
      <c r="N41" s="6">
        <f t="shared" si="3"/>
        <v>18.218</v>
      </c>
    </row>
    <row r="42" spans="1:14" x14ac:dyDescent="0.3">
      <c r="A42" s="2" t="s">
        <v>119</v>
      </c>
      <c r="B42" s="2" t="s">
        <v>120</v>
      </c>
      <c r="C42" s="2" t="s">
        <v>25</v>
      </c>
      <c r="D42" s="2">
        <v>22</v>
      </c>
      <c r="E42" s="2" t="s">
        <v>41</v>
      </c>
      <c r="F42" s="2" t="s">
        <v>73</v>
      </c>
      <c r="G42" s="2" t="s">
        <v>19</v>
      </c>
      <c r="H42" s="3">
        <v>46014</v>
      </c>
      <c r="I42" s="2">
        <v>0.7</v>
      </c>
      <c r="J42" s="2">
        <v>2</v>
      </c>
      <c r="K42" s="4">
        <v>38900</v>
      </c>
      <c r="L42" s="4">
        <v>23300</v>
      </c>
      <c r="M42" s="5">
        <f t="shared" si="2"/>
        <v>490100</v>
      </c>
      <c r="N42" s="6">
        <f t="shared" si="3"/>
        <v>4.9009999999999998</v>
      </c>
    </row>
    <row r="43" spans="1:14" x14ac:dyDescent="0.3">
      <c r="A43" s="2" t="s">
        <v>121</v>
      </c>
      <c r="B43" s="2" t="s">
        <v>122</v>
      </c>
      <c r="C43" s="2" t="s">
        <v>25</v>
      </c>
      <c r="D43" s="2">
        <v>38</v>
      </c>
      <c r="E43" s="2" t="s">
        <v>38</v>
      </c>
      <c r="F43" s="2" t="s">
        <v>76</v>
      </c>
      <c r="G43" s="2" t="s">
        <v>69</v>
      </c>
      <c r="H43" s="3">
        <v>41959</v>
      </c>
      <c r="I43" s="2">
        <v>12</v>
      </c>
      <c r="J43" s="2">
        <v>3</v>
      </c>
      <c r="K43" s="4">
        <v>160800</v>
      </c>
      <c r="L43" s="4">
        <v>124600</v>
      </c>
      <c r="M43" s="5">
        <f t="shared" si="2"/>
        <v>2054200</v>
      </c>
      <c r="N43" s="6">
        <f t="shared" si="3"/>
        <v>20.542000000000002</v>
      </c>
    </row>
    <row r="44" spans="1:14" x14ac:dyDescent="0.3">
      <c r="A44" s="2" t="s">
        <v>123</v>
      </c>
      <c r="B44" s="2" t="s">
        <v>124</v>
      </c>
      <c r="C44" s="2" t="s">
        <v>25</v>
      </c>
      <c r="D44" s="2">
        <v>28</v>
      </c>
      <c r="E44" s="2" t="s">
        <v>47</v>
      </c>
      <c r="F44" s="2" t="s">
        <v>55</v>
      </c>
      <c r="G44" s="2" t="s">
        <v>51</v>
      </c>
      <c r="H44" s="3">
        <v>44267</v>
      </c>
      <c r="I44" s="2">
        <v>5.4</v>
      </c>
      <c r="J44" s="2">
        <v>5</v>
      </c>
      <c r="K44" s="4">
        <v>90100</v>
      </c>
      <c r="L44" s="4">
        <v>101400</v>
      </c>
      <c r="M44" s="5">
        <f t="shared" si="2"/>
        <v>1182600</v>
      </c>
      <c r="N44" s="6">
        <f t="shared" si="3"/>
        <v>11.826000000000001</v>
      </c>
    </row>
    <row r="45" spans="1:14" x14ac:dyDescent="0.3">
      <c r="A45" s="2" t="s">
        <v>125</v>
      </c>
      <c r="B45" s="2" t="s">
        <v>126</v>
      </c>
      <c r="C45" s="2" t="s">
        <v>16</v>
      </c>
      <c r="D45" s="2">
        <v>29</v>
      </c>
      <c r="E45" s="2" t="s">
        <v>72</v>
      </c>
      <c r="F45" s="2" t="s">
        <v>34</v>
      </c>
      <c r="G45" s="2" t="s">
        <v>64</v>
      </c>
      <c r="H45" s="3">
        <v>44548</v>
      </c>
      <c r="I45" s="2">
        <v>4.8</v>
      </c>
      <c r="J45" s="2">
        <v>3</v>
      </c>
      <c r="K45" s="4">
        <v>52500</v>
      </c>
      <c r="L45" s="4">
        <v>40700</v>
      </c>
      <c r="M45" s="5">
        <f t="shared" si="2"/>
        <v>670700</v>
      </c>
      <c r="N45" s="6">
        <f t="shared" si="3"/>
        <v>6.7069999999999999</v>
      </c>
    </row>
    <row r="46" spans="1:14" x14ac:dyDescent="0.3">
      <c r="A46" s="2" t="s">
        <v>127</v>
      </c>
      <c r="B46" s="2" t="s">
        <v>128</v>
      </c>
      <c r="C46" s="2" t="s">
        <v>16</v>
      </c>
      <c r="D46" s="2">
        <v>23</v>
      </c>
      <c r="E46" s="2" t="s">
        <v>72</v>
      </c>
      <c r="F46" s="2" t="s">
        <v>34</v>
      </c>
      <c r="G46" s="2" t="s">
        <v>51</v>
      </c>
      <c r="H46" s="3">
        <v>45445</v>
      </c>
      <c r="I46" s="2">
        <v>2.2000000000000002</v>
      </c>
      <c r="J46" s="2">
        <v>4</v>
      </c>
      <c r="K46" s="4">
        <v>62200</v>
      </c>
      <c r="L46" s="4">
        <v>59100</v>
      </c>
      <c r="M46" s="5">
        <f t="shared" si="2"/>
        <v>805500</v>
      </c>
      <c r="N46" s="6">
        <f t="shared" si="3"/>
        <v>8.0549999999999997</v>
      </c>
    </row>
    <row r="47" spans="1:14" x14ac:dyDescent="0.3">
      <c r="A47" s="2" t="s">
        <v>129</v>
      </c>
      <c r="B47" s="2" t="s">
        <v>130</v>
      </c>
      <c r="C47" s="2" t="s">
        <v>25</v>
      </c>
      <c r="D47" s="2">
        <v>28</v>
      </c>
      <c r="E47" s="2" t="s">
        <v>72</v>
      </c>
      <c r="F47" s="2" t="s">
        <v>61</v>
      </c>
      <c r="G47" s="2" t="s">
        <v>51</v>
      </c>
      <c r="H47" s="3">
        <v>43434</v>
      </c>
      <c r="I47" s="2">
        <v>7.9</v>
      </c>
      <c r="J47" s="2">
        <v>4</v>
      </c>
      <c r="K47" s="4">
        <v>86800</v>
      </c>
      <c r="L47" s="4">
        <v>82500</v>
      </c>
      <c r="M47" s="5">
        <f t="shared" si="2"/>
        <v>1124100</v>
      </c>
      <c r="N47" s="6">
        <f t="shared" si="3"/>
        <v>11.241</v>
      </c>
    </row>
    <row r="48" spans="1:14" x14ac:dyDescent="0.3">
      <c r="A48" s="2" t="s">
        <v>131</v>
      </c>
      <c r="B48" s="2" t="s">
        <v>132</v>
      </c>
      <c r="C48" s="2" t="s">
        <v>25</v>
      </c>
      <c r="D48" s="2">
        <v>29</v>
      </c>
      <c r="E48" s="2" t="s">
        <v>47</v>
      </c>
      <c r="F48" s="2" t="s">
        <v>18</v>
      </c>
      <c r="G48" s="2" t="s">
        <v>64</v>
      </c>
      <c r="H48" s="3">
        <v>44365</v>
      </c>
      <c r="I48" s="2">
        <v>5.2</v>
      </c>
      <c r="J48" s="2">
        <v>3</v>
      </c>
      <c r="K48" s="4">
        <v>60500</v>
      </c>
      <c r="L48" s="4">
        <v>46900</v>
      </c>
      <c r="M48" s="5">
        <f t="shared" si="2"/>
        <v>772900</v>
      </c>
      <c r="N48" s="6">
        <f t="shared" si="3"/>
        <v>7.7290000000000001</v>
      </c>
    </row>
    <row r="49" spans="1:14" x14ac:dyDescent="0.3">
      <c r="A49" s="2" t="s">
        <v>133</v>
      </c>
      <c r="B49" s="2" t="s">
        <v>134</v>
      </c>
      <c r="C49" s="2" t="s">
        <v>25</v>
      </c>
      <c r="D49" s="2">
        <v>26</v>
      </c>
      <c r="E49" s="2" t="s">
        <v>47</v>
      </c>
      <c r="F49" s="2" t="s">
        <v>61</v>
      </c>
      <c r="G49" s="2" t="s">
        <v>51</v>
      </c>
      <c r="H49" s="3">
        <v>44747</v>
      </c>
      <c r="I49" s="2">
        <v>4.0999999999999996</v>
      </c>
      <c r="J49" s="2">
        <v>3</v>
      </c>
      <c r="K49" s="4">
        <v>84900</v>
      </c>
      <c r="L49" s="4">
        <v>65800</v>
      </c>
      <c r="M49" s="5">
        <f t="shared" si="2"/>
        <v>1084600</v>
      </c>
      <c r="N49" s="6">
        <f t="shared" si="3"/>
        <v>10.846</v>
      </c>
    </row>
    <row r="50" spans="1:14" x14ac:dyDescent="0.3">
      <c r="A50" s="2" t="s">
        <v>135</v>
      </c>
      <c r="B50" s="2" t="s">
        <v>136</v>
      </c>
      <c r="C50" s="2" t="s">
        <v>25</v>
      </c>
      <c r="D50" s="2">
        <v>29</v>
      </c>
      <c r="E50" s="2" t="s">
        <v>41</v>
      </c>
      <c r="F50" s="2" t="s">
        <v>61</v>
      </c>
      <c r="G50" s="2" t="s">
        <v>51</v>
      </c>
      <c r="H50" s="3">
        <v>43414</v>
      </c>
      <c r="I50" s="2">
        <v>7.9</v>
      </c>
      <c r="J50" s="2">
        <v>3</v>
      </c>
      <c r="K50" s="4">
        <v>81700</v>
      </c>
      <c r="L50" s="4">
        <v>63300</v>
      </c>
      <c r="M50" s="5">
        <f t="shared" si="2"/>
        <v>1043700</v>
      </c>
      <c r="N50" s="6">
        <f t="shared" si="3"/>
        <v>10.436999999999999</v>
      </c>
    </row>
    <row r="51" spans="1:14" x14ac:dyDescent="0.3">
      <c r="A51" s="2" t="s">
        <v>137</v>
      </c>
      <c r="B51" s="2" t="s">
        <v>138</v>
      </c>
      <c r="C51" s="2" t="s">
        <v>16</v>
      </c>
      <c r="D51" s="2">
        <v>28</v>
      </c>
      <c r="E51" s="2" t="s">
        <v>22</v>
      </c>
      <c r="F51" s="2" t="s">
        <v>18</v>
      </c>
      <c r="G51" s="2" t="s">
        <v>42</v>
      </c>
      <c r="H51" s="3">
        <v>44426</v>
      </c>
      <c r="I51" s="2">
        <v>5.0999999999999996</v>
      </c>
      <c r="J51" s="2">
        <v>3</v>
      </c>
      <c r="K51" s="4">
        <v>61300</v>
      </c>
      <c r="L51" s="4">
        <v>47500</v>
      </c>
      <c r="M51" s="5">
        <f t="shared" si="2"/>
        <v>783100</v>
      </c>
      <c r="N51" s="6">
        <f t="shared" si="3"/>
        <v>7.8310000000000004</v>
      </c>
    </row>
    <row r="52" spans="1:14" x14ac:dyDescent="0.3">
      <c r="A52" s="2" t="s">
        <v>139</v>
      </c>
      <c r="B52" s="2" t="s">
        <v>140</v>
      </c>
      <c r="C52" s="2" t="s">
        <v>25</v>
      </c>
      <c r="D52" s="2">
        <v>30</v>
      </c>
      <c r="E52" s="2" t="s">
        <v>29</v>
      </c>
      <c r="F52" s="2" t="s">
        <v>26</v>
      </c>
      <c r="G52" s="2" t="s">
        <v>69</v>
      </c>
      <c r="H52" s="3">
        <v>43126</v>
      </c>
      <c r="I52" s="2">
        <v>8.6999999999999993</v>
      </c>
      <c r="J52" s="2">
        <v>4</v>
      </c>
      <c r="K52" s="4">
        <v>125500</v>
      </c>
      <c r="L52" s="4">
        <v>119200</v>
      </c>
      <c r="M52" s="5">
        <f t="shared" si="2"/>
        <v>1625200</v>
      </c>
      <c r="N52" s="6">
        <f t="shared" si="3"/>
        <v>16.251999999999999</v>
      </c>
    </row>
    <row r="53" spans="1:14" x14ac:dyDescent="0.3">
      <c r="A53" s="2" t="s">
        <v>141</v>
      </c>
      <c r="B53" s="2" t="s">
        <v>142</v>
      </c>
      <c r="C53" s="2" t="s">
        <v>16</v>
      </c>
      <c r="D53" s="2">
        <v>26</v>
      </c>
      <c r="E53" s="2" t="s">
        <v>29</v>
      </c>
      <c r="F53" s="2" t="s">
        <v>34</v>
      </c>
      <c r="G53" s="2" t="s">
        <v>51</v>
      </c>
      <c r="H53" s="3">
        <v>44612</v>
      </c>
      <c r="I53" s="2">
        <v>4.5</v>
      </c>
      <c r="J53" s="2">
        <v>4</v>
      </c>
      <c r="K53" s="4">
        <v>59200</v>
      </c>
      <c r="L53" s="4">
        <v>56200</v>
      </c>
      <c r="M53" s="5">
        <f t="shared" si="2"/>
        <v>766600</v>
      </c>
      <c r="N53" s="6">
        <f t="shared" si="3"/>
        <v>7.6660000000000004</v>
      </c>
    </row>
    <row r="54" spans="1:14" x14ac:dyDescent="0.3">
      <c r="A54" s="2" t="s">
        <v>143</v>
      </c>
      <c r="B54" s="2" t="s">
        <v>144</v>
      </c>
      <c r="C54" s="2" t="s">
        <v>16</v>
      </c>
      <c r="D54" s="2">
        <v>35</v>
      </c>
      <c r="E54" s="2" t="s">
        <v>38</v>
      </c>
      <c r="F54" s="2" t="s">
        <v>76</v>
      </c>
      <c r="G54" s="2" t="s">
        <v>69</v>
      </c>
      <c r="H54" s="3">
        <v>42416</v>
      </c>
      <c r="I54" s="2">
        <v>10.6</v>
      </c>
      <c r="J54" s="2">
        <v>2</v>
      </c>
      <c r="K54" s="4">
        <v>177300</v>
      </c>
      <c r="L54" s="4">
        <v>106400</v>
      </c>
      <c r="M54" s="5">
        <f t="shared" si="2"/>
        <v>2234000</v>
      </c>
      <c r="N54" s="6">
        <f t="shared" si="3"/>
        <v>22.34</v>
      </c>
    </row>
    <row r="55" spans="1:14" x14ac:dyDescent="0.3">
      <c r="A55" s="2" t="s">
        <v>145</v>
      </c>
      <c r="B55" s="2" t="s">
        <v>146</v>
      </c>
      <c r="C55" s="2" t="s">
        <v>16</v>
      </c>
      <c r="D55" s="2">
        <v>26</v>
      </c>
      <c r="E55" s="2" t="s">
        <v>47</v>
      </c>
      <c r="F55" s="2" t="s">
        <v>18</v>
      </c>
      <c r="G55" s="2" t="s">
        <v>35</v>
      </c>
      <c r="H55" s="3">
        <v>44709</v>
      </c>
      <c r="I55" s="2">
        <v>4.2</v>
      </c>
      <c r="J55" s="2">
        <v>4</v>
      </c>
      <c r="K55" s="4">
        <v>55100</v>
      </c>
      <c r="L55" s="4">
        <v>52300</v>
      </c>
      <c r="M55" s="5">
        <f t="shared" si="2"/>
        <v>713500</v>
      </c>
      <c r="N55" s="6">
        <f t="shared" si="3"/>
        <v>7.1349999999999998</v>
      </c>
    </row>
    <row r="56" spans="1:14" x14ac:dyDescent="0.3">
      <c r="A56" s="2" t="s">
        <v>147</v>
      </c>
      <c r="B56" s="2" t="s">
        <v>148</v>
      </c>
      <c r="C56" s="2" t="s">
        <v>25</v>
      </c>
      <c r="D56" s="2">
        <v>27</v>
      </c>
      <c r="E56" s="2" t="s">
        <v>29</v>
      </c>
      <c r="F56" s="2" t="s">
        <v>58</v>
      </c>
      <c r="G56" s="2" t="s">
        <v>35</v>
      </c>
      <c r="H56" s="3">
        <v>45495</v>
      </c>
      <c r="I56" s="2">
        <v>2.2999999999999998</v>
      </c>
      <c r="J56" s="2">
        <v>4</v>
      </c>
      <c r="K56" s="4">
        <v>36100</v>
      </c>
      <c r="L56" s="4">
        <v>34300</v>
      </c>
      <c r="M56" s="5">
        <f t="shared" si="2"/>
        <v>467500</v>
      </c>
      <c r="N56" s="6">
        <f t="shared" si="3"/>
        <v>4.6749999999999998</v>
      </c>
    </row>
    <row r="57" spans="1:14" x14ac:dyDescent="0.3">
      <c r="A57" s="2" t="s">
        <v>149</v>
      </c>
      <c r="B57" s="2" t="s">
        <v>150</v>
      </c>
      <c r="C57" s="2" t="s">
        <v>16</v>
      </c>
      <c r="D57" s="2">
        <v>32</v>
      </c>
      <c r="E57" s="2" t="s">
        <v>17</v>
      </c>
      <c r="F57" s="2" t="s">
        <v>61</v>
      </c>
      <c r="G57" s="2" t="s">
        <v>51</v>
      </c>
      <c r="H57" s="3">
        <v>43661</v>
      </c>
      <c r="I57" s="2">
        <v>7.3</v>
      </c>
      <c r="J57" s="2">
        <v>3</v>
      </c>
      <c r="K57" s="4">
        <v>71100</v>
      </c>
      <c r="L57" s="4">
        <v>55100</v>
      </c>
      <c r="M57" s="5">
        <f t="shared" si="2"/>
        <v>908300</v>
      </c>
      <c r="N57" s="6">
        <f t="shared" si="3"/>
        <v>9.0830000000000002</v>
      </c>
    </row>
    <row r="58" spans="1:14" x14ac:dyDescent="0.3">
      <c r="A58" s="2" t="s">
        <v>151</v>
      </c>
      <c r="B58" s="2" t="s">
        <v>152</v>
      </c>
      <c r="C58" s="2" t="s">
        <v>25</v>
      </c>
      <c r="D58" s="2">
        <v>29</v>
      </c>
      <c r="E58" s="2" t="s">
        <v>72</v>
      </c>
      <c r="F58" s="2" t="s">
        <v>26</v>
      </c>
      <c r="G58" s="2" t="s">
        <v>64</v>
      </c>
      <c r="H58" s="3">
        <v>42717</v>
      </c>
      <c r="I58" s="2">
        <v>9.6</v>
      </c>
      <c r="J58" s="2">
        <v>3</v>
      </c>
      <c r="K58" s="4">
        <v>122600</v>
      </c>
      <c r="L58" s="4">
        <v>95000</v>
      </c>
      <c r="M58" s="5">
        <f t="shared" si="2"/>
        <v>1566200</v>
      </c>
      <c r="N58" s="6">
        <f t="shared" si="3"/>
        <v>15.662000000000001</v>
      </c>
    </row>
    <row r="59" spans="1:14" x14ac:dyDescent="0.3">
      <c r="A59" s="2" t="s">
        <v>153</v>
      </c>
      <c r="B59" s="2" t="s">
        <v>154</v>
      </c>
      <c r="C59" s="2" t="s">
        <v>25</v>
      </c>
      <c r="D59" s="2">
        <v>28</v>
      </c>
      <c r="E59" s="2" t="s">
        <v>72</v>
      </c>
      <c r="F59" s="2" t="s">
        <v>58</v>
      </c>
      <c r="G59" s="2" t="s">
        <v>19</v>
      </c>
      <c r="H59" s="3">
        <v>45571</v>
      </c>
      <c r="I59" s="2">
        <v>2</v>
      </c>
      <c r="J59" s="2">
        <v>4</v>
      </c>
      <c r="K59" s="4">
        <v>41800</v>
      </c>
      <c r="L59" s="4">
        <v>39700</v>
      </c>
      <c r="M59" s="5">
        <f t="shared" si="2"/>
        <v>541300</v>
      </c>
      <c r="N59" s="6">
        <f t="shared" si="3"/>
        <v>5.4130000000000003</v>
      </c>
    </row>
    <row r="60" spans="1:14" x14ac:dyDescent="0.3">
      <c r="A60" s="2" t="s">
        <v>155</v>
      </c>
      <c r="B60" s="2" t="s">
        <v>156</v>
      </c>
      <c r="C60" s="2" t="s">
        <v>16</v>
      </c>
      <c r="D60" s="2">
        <v>29</v>
      </c>
      <c r="E60" s="2" t="s">
        <v>38</v>
      </c>
      <c r="F60" s="2" t="s">
        <v>26</v>
      </c>
      <c r="G60" s="2" t="s">
        <v>19</v>
      </c>
      <c r="H60" s="3">
        <v>43674</v>
      </c>
      <c r="I60" s="2">
        <v>7.3</v>
      </c>
      <c r="J60" s="2">
        <v>4</v>
      </c>
      <c r="K60" s="4">
        <v>130100</v>
      </c>
      <c r="L60" s="4">
        <v>123600</v>
      </c>
      <c r="M60" s="5">
        <f t="shared" si="2"/>
        <v>1684800</v>
      </c>
      <c r="N60" s="6">
        <f t="shared" si="3"/>
        <v>16.847999999999999</v>
      </c>
    </row>
    <row r="61" spans="1:14" x14ac:dyDescent="0.3">
      <c r="A61" s="2" t="s">
        <v>157</v>
      </c>
      <c r="B61" s="2" t="s">
        <v>158</v>
      </c>
      <c r="C61" s="2" t="s">
        <v>16</v>
      </c>
      <c r="D61" s="2">
        <v>29</v>
      </c>
      <c r="E61" s="2" t="s">
        <v>17</v>
      </c>
      <c r="F61" s="2" t="s">
        <v>55</v>
      </c>
      <c r="G61" s="2" t="s">
        <v>51</v>
      </c>
      <c r="H61" s="3">
        <v>43254</v>
      </c>
      <c r="I61" s="2">
        <v>8.1999999999999993</v>
      </c>
      <c r="J61" s="2">
        <v>3</v>
      </c>
      <c r="K61" s="4">
        <v>85300</v>
      </c>
      <c r="L61" s="4">
        <v>66100</v>
      </c>
      <c r="M61" s="5">
        <f t="shared" si="2"/>
        <v>1089700</v>
      </c>
      <c r="N61" s="6">
        <f t="shared" si="3"/>
        <v>10.897</v>
      </c>
    </row>
    <row r="62" spans="1:14" x14ac:dyDescent="0.3">
      <c r="A62" s="2" t="s">
        <v>159</v>
      </c>
      <c r="B62" s="2" t="s">
        <v>160</v>
      </c>
      <c r="C62" s="2" t="s">
        <v>25</v>
      </c>
      <c r="D62" s="2">
        <v>34</v>
      </c>
      <c r="E62" s="2" t="s">
        <v>47</v>
      </c>
      <c r="F62" s="2" t="s">
        <v>76</v>
      </c>
      <c r="G62" s="2" t="s">
        <v>51</v>
      </c>
      <c r="H62" s="3">
        <v>41814</v>
      </c>
      <c r="I62" s="2">
        <v>12.1</v>
      </c>
      <c r="J62" s="2">
        <v>3</v>
      </c>
      <c r="K62" s="4">
        <v>208300</v>
      </c>
      <c r="L62" s="4">
        <v>161400</v>
      </c>
      <c r="M62" s="5">
        <f t="shared" si="2"/>
        <v>2661000</v>
      </c>
      <c r="N62" s="6">
        <f t="shared" si="3"/>
        <v>26.61</v>
      </c>
    </row>
    <row r="63" spans="1:14" x14ac:dyDescent="0.3">
      <c r="A63" s="2" t="s">
        <v>161</v>
      </c>
      <c r="B63" s="2" t="s">
        <v>162</v>
      </c>
      <c r="C63" s="2" t="s">
        <v>16</v>
      </c>
      <c r="D63" s="2">
        <v>22</v>
      </c>
      <c r="E63" s="2" t="s">
        <v>38</v>
      </c>
      <c r="F63" s="2" t="s">
        <v>34</v>
      </c>
      <c r="G63" s="2" t="s">
        <v>35</v>
      </c>
      <c r="H63" s="3">
        <v>45437</v>
      </c>
      <c r="I63" s="2">
        <v>2.2999999999999998</v>
      </c>
      <c r="J63" s="2">
        <v>4</v>
      </c>
      <c r="K63" s="4">
        <v>52000</v>
      </c>
      <c r="L63" s="4">
        <v>49400</v>
      </c>
      <c r="M63" s="5">
        <f t="shared" si="2"/>
        <v>673400</v>
      </c>
      <c r="N63" s="6">
        <f t="shared" si="3"/>
        <v>6.734</v>
      </c>
    </row>
    <row r="64" spans="1:14" x14ac:dyDescent="0.3">
      <c r="A64" s="2" t="s">
        <v>163</v>
      </c>
      <c r="B64" s="2" t="s">
        <v>164</v>
      </c>
      <c r="C64" s="2" t="s">
        <v>25</v>
      </c>
      <c r="D64" s="2">
        <v>28</v>
      </c>
      <c r="E64" s="2" t="s">
        <v>41</v>
      </c>
      <c r="F64" s="2" t="s">
        <v>26</v>
      </c>
      <c r="G64" s="2" t="s">
        <v>69</v>
      </c>
      <c r="H64" s="3">
        <v>43207</v>
      </c>
      <c r="I64" s="2">
        <v>8.4</v>
      </c>
      <c r="J64" s="2">
        <v>5</v>
      </c>
      <c r="K64" s="4">
        <v>103600</v>
      </c>
      <c r="L64" s="4">
        <v>116600</v>
      </c>
      <c r="M64" s="5">
        <f t="shared" si="2"/>
        <v>1359800</v>
      </c>
      <c r="N64" s="6">
        <f t="shared" si="3"/>
        <v>13.598000000000001</v>
      </c>
    </row>
    <row r="65" spans="1:14" x14ac:dyDescent="0.3">
      <c r="A65" s="2" t="s">
        <v>165</v>
      </c>
      <c r="B65" s="2" t="s">
        <v>166</v>
      </c>
      <c r="C65" s="2" t="s">
        <v>16</v>
      </c>
      <c r="D65" s="2">
        <v>30</v>
      </c>
      <c r="E65" s="2" t="s">
        <v>47</v>
      </c>
      <c r="F65" s="2" t="s">
        <v>61</v>
      </c>
      <c r="G65" s="2" t="s">
        <v>19</v>
      </c>
      <c r="H65" s="3">
        <v>44379</v>
      </c>
      <c r="I65" s="2">
        <v>5.2</v>
      </c>
      <c r="J65" s="2">
        <v>3</v>
      </c>
      <c r="K65" s="4">
        <v>64600</v>
      </c>
      <c r="L65" s="4">
        <v>50100</v>
      </c>
      <c r="M65" s="5">
        <f t="shared" si="2"/>
        <v>825300</v>
      </c>
      <c r="N65" s="6">
        <f t="shared" si="3"/>
        <v>8.2530000000000001</v>
      </c>
    </row>
    <row r="66" spans="1:14" x14ac:dyDescent="0.3">
      <c r="A66" s="2" t="s">
        <v>167</v>
      </c>
      <c r="B66" s="2" t="s">
        <v>168</v>
      </c>
      <c r="C66" s="2" t="s">
        <v>16</v>
      </c>
      <c r="D66" s="2">
        <v>26</v>
      </c>
      <c r="E66" s="2" t="s">
        <v>41</v>
      </c>
      <c r="F66" s="2" t="s">
        <v>18</v>
      </c>
      <c r="G66" s="2" t="s">
        <v>19</v>
      </c>
      <c r="H66" s="3">
        <v>45346</v>
      </c>
      <c r="I66" s="2">
        <v>2.6</v>
      </c>
      <c r="J66" s="2">
        <v>3</v>
      </c>
      <c r="K66" s="4">
        <v>56800</v>
      </c>
      <c r="L66" s="4">
        <v>44000</v>
      </c>
      <c r="M66" s="5">
        <f t="shared" ref="M66:M97" si="4">K66*12+L66</f>
        <v>725600</v>
      </c>
      <c r="N66" s="6">
        <f t="shared" ref="N66:N97" si="5">M66/100000</f>
        <v>7.2560000000000002</v>
      </c>
    </row>
    <row r="67" spans="1:14" x14ac:dyDescent="0.3">
      <c r="A67" s="2" t="s">
        <v>169</v>
      </c>
      <c r="B67" s="2" t="s">
        <v>170</v>
      </c>
      <c r="C67" s="2" t="s">
        <v>25</v>
      </c>
      <c r="D67" s="2">
        <v>28</v>
      </c>
      <c r="E67" s="2" t="s">
        <v>22</v>
      </c>
      <c r="F67" s="2" t="s">
        <v>34</v>
      </c>
      <c r="G67" s="2" t="s">
        <v>42</v>
      </c>
      <c r="H67" s="3">
        <v>45074</v>
      </c>
      <c r="I67" s="2">
        <v>3.4</v>
      </c>
      <c r="J67" s="2">
        <v>3</v>
      </c>
      <c r="K67" s="4">
        <v>63600</v>
      </c>
      <c r="L67" s="4">
        <v>49300</v>
      </c>
      <c r="M67" s="5">
        <f t="shared" si="4"/>
        <v>812500</v>
      </c>
      <c r="N67" s="6">
        <f t="shared" si="5"/>
        <v>8.125</v>
      </c>
    </row>
    <row r="68" spans="1:14" x14ac:dyDescent="0.3">
      <c r="A68" s="2" t="s">
        <v>171</v>
      </c>
      <c r="B68" s="2" t="s">
        <v>80</v>
      </c>
      <c r="C68" s="2" t="s">
        <v>16</v>
      </c>
      <c r="D68" s="2">
        <v>31</v>
      </c>
      <c r="E68" s="2" t="s">
        <v>41</v>
      </c>
      <c r="F68" s="2" t="s">
        <v>26</v>
      </c>
      <c r="G68" s="2" t="s">
        <v>42</v>
      </c>
      <c r="H68" s="3">
        <v>42850</v>
      </c>
      <c r="I68" s="2">
        <v>9.5</v>
      </c>
      <c r="J68" s="2">
        <v>3</v>
      </c>
      <c r="K68" s="4">
        <v>133000</v>
      </c>
      <c r="L68" s="4">
        <v>103100</v>
      </c>
      <c r="M68" s="5">
        <f t="shared" si="4"/>
        <v>1699100</v>
      </c>
      <c r="N68" s="6">
        <f t="shared" si="5"/>
        <v>16.991</v>
      </c>
    </row>
    <row r="69" spans="1:14" x14ac:dyDescent="0.3">
      <c r="A69" s="2" t="s">
        <v>172</v>
      </c>
      <c r="B69" s="2" t="s">
        <v>173</v>
      </c>
      <c r="C69" s="2" t="s">
        <v>16</v>
      </c>
      <c r="D69" s="2">
        <v>37</v>
      </c>
      <c r="E69" s="2" t="s">
        <v>17</v>
      </c>
      <c r="F69" s="2" t="s">
        <v>174</v>
      </c>
      <c r="G69" s="2" t="s">
        <v>19</v>
      </c>
      <c r="H69" s="3">
        <v>41900</v>
      </c>
      <c r="I69" s="2">
        <v>11.9</v>
      </c>
      <c r="J69" s="2">
        <v>3</v>
      </c>
      <c r="K69" s="4">
        <v>239600</v>
      </c>
      <c r="L69" s="4">
        <v>185700</v>
      </c>
      <c r="M69" s="5">
        <f t="shared" si="4"/>
        <v>3060900</v>
      </c>
      <c r="N69" s="6">
        <f t="shared" si="5"/>
        <v>30.609000000000002</v>
      </c>
    </row>
    <row r="70" spans="1:14" x14ac:dyDescent="0.3">
      <c r="A70" s="2" t="s">
        <v>175</v>
      </c>
      <c r="B70" s="2" t="s">
        <v>176</v>
      </c>
      <c r="C70" s="2" t="s">
        <v>25</v>
      </c>
      <c r="D70" s="2">
        <v>32</v>
      </c>
      <c r="E70" s="2" t="s">
        <v>29</v>
      </c>
      <c r="F70" s="2" t="s">
        <v>18</v>
      </c>
      <c r="G70" s="2" t="s">
        <v>35</v>
      </c>
      <c r="H70" s="3">
        <v>44032</v>
      </c>
      <c r="I70" s="2">
        <v>6.3</v>
      </c>
      <c r="J70" s="2">
        <v>3</v>
      </c>
      <c r="K70" s="4">
        <v>48400</v>
      </c>
      <c r="L70" s="4">
        <v>37500</v>
      </c>
      <c r="M70" s="5">
        <f t="shared" si="4"/>
        <v>618300</v>
      </c>
      <c r="N70" s="6">
        <f t="shared" si="5"/>
        <v>6.1829999999999998</v>
      </c>
    </row>
    <row r="71" spans="1:14" x14ac:dyDescent="0.3">
      <c r="A71" s="2" t="s">
        <v>177</v>
      </c>
      <c r="B71" s="2" t="s">
        <v>138</v>
      </c>
      <c r="C71" s="2" t="s">
        <v>16</v>
      </c>
      <c r="D71" s="2">
        <v>28</v>
      </c>
      <c r="E71" s="2" t="s">
        <v>72</v>
      </c>
      <c r="F71" s="2" t="s">
        <v>26</v>
      </c>
      <c r="G71" s="2" t="s">
        <v>64</v>
      </c>
      <c r="H71" s="3">
        <v>43312</v>
      </c>
      <c r="I71" s="2">
        <v>8.1</v>
      </c>
      <c r="J71" s="2">
        <v>4</v>
      </c>
      <c r="K71" s="4">
        <v>137700</v>
      </c>
      <c r="L71" s="4">
        <v>130800</v>
      </c>
      <c r="M71" s="5">
        <f t="shared" si="4"/>
        <v>1783200</v>
      </c>
      <c r="N71" s="6">
        <f t="shared" si="5"/>
        <v>17.832000000000001</v>
      </c>
    </row>
    <row r="72" spans="1:14" x14ac:dyDescent="0.3">
      <c r="A72" s="2" t="s">
        <v>178</v>
      </c>
      <c r="B72" s="2" t="s">
        <v>179</v>
      </c>
      <c r="C72" s="2" t="s">
        <v>16</v>
      </c>
      <c r="D72" s="2">
        <v>29</v>
      </c>
      <c r="E72" s="2" t="s">
        <v>41</v>
      </c>
      <c r="F72" s="2" t="s">
        <v>34</v>
      </c>
      <c r="G72" s="2" t="s">
        <v>69</v>
      </c>
      <c r="H72" s="3">
        <v>44179</v>
      </c>
      <c r="I72" s="2">
        <v>5.9</v>
      </c>
      <c r="J72" s="2">
        <v>4</v>
      </c>
      <c r="K72" s="4">
        <v>49300</v>
      </c>
      <c r="L72" s="4">
        <v>46800</v>
      </c>
      <c r="M72" s="5">
        <f t="shared" si="4"/>
        <v>638400</v>
      </c>
      <c r="N72" s="6">
        <f t="shared" si="5"/>
        <v>6.3840000000000003</v>
      </c>
    </row>
    <row r="73" spans="1:14" x14ac:dyDescent="0.3">
      <c r="A73" s="2" t="s">
        <v>180</v>
      </c>
      <c r="B73" s="2" t="s">
        <v>181</v>
      </c>
      <c r="C73" s="2" t="s">
        <v>16</v>
      </c>
      <c r="D73" s="2">
        <v>25</v>
      </c>
      <c r="E73" s="2" t="s">
        <v>17</v>
      </c>
      <c r="F73" s="2" t="s">
        <v>18</v>
      </c>
      <c r="G73" s="2" t="s">
        <v>64</v>
      </c>
      <c r="H73" s="3">
        <v>44700</v>
      </c>
      <c r="I73" s="2">
        <v>4.3</v>
      </c>
      <c r="J73" s="2">
        <v>2</v>
      </c>
      <c r="K73" s="4">
        <v>46100</v>
      </c>
      <c r="L73" s="4">
        <v>27700</v>
      </c>
      <c r="M73" s="5">
        <f t="shared" si="4"/>
        <v>580900</v>
      </c>
      <c r="N73" s="6">
        <f t="shared" si="5"/>
        <v>5.8090000000000002</v>
      </c>
    </row>
    <row r="74" spans="1:14" x14ac:dyDescent="0.3">
      <c r="A74" s="2" t="s">
        <v>182</v>
      </c>
      <c r="B74" s="2" t="s">
        <v>183</v>
      </c>
      <c r="C74" s="2" t="s">
        <v>25</v>
      </c>
      <c r="D74" s="2">
        <v>32</v>
      </c>
      <c r="E74" s="2" t="s">
        <v>29</v>
      </c>
      <c r="F74" s="2" t="s">
        <v>55</v>
      </c>
      <c r="G74" s="2" t="s">
        <v>64</v>
      </c>
      <c r="H74" s="3">
        <v>43982</v>
      </c>
      <c r="I74" s="2">
        <v>6.3</v>
      </c>
      <c r="J74" s="2">
        <v>2</v>
      </c>
      <c r="K74" s="4">
        <v>71600</v>
      </c>
      <c r="L74" s="4">
        <v>43000</v>
      </c>
      <c r="M74" s="5">
        <f t="shared" si="4"/>
        <v>902200</v>
      </c>
      <c r="N74" s="6">
        <f t="shared" si="5"/>
        <v>9.0220000000000002</v>
      </c>
    </row>
    <row r="75" spans="1:14" x14ac:dyDescent="0.3">
      <c r="A75" s="2" t="s">
        <v>184</v>
      </c>
      <c r="B75" s="2" t="s">
        <v>185</v>
      </c>
      <c r="C75" s="2" t="s">
        <v>25</v>
      </c>
      <c r="D75" s="2">
        <v>32</v>
      </c>
      <c r="E75" s="2" t="s">
        <v>38</v>
      </c>
      <c r="F75" s="2" t="s">
        <v>61</v>
      </c>
      <c r="G75" s="2" t="s">
        <v>42</v>
      </c>
      <c r="H75" s="3">
        <v>43391</v>
      </c>
      <c r="I75" s="2">
        <v>8</v>
      </c>
      <c r="J75" s="2">
        <v>4</v>
      </c>
      <c r="K75" s="4">
        <v>72700</v>
      </c>
      <c r="L75" s="4">
        <v>69100</v>
      </c>
      <c r="M75" s="5">
        <f t="shared" si="4"/>
        <v>941500</v>
      </c>
      <c r="N75" s="6">
        <f t="shared" si="5"/>
        <v>9.4149999999999991</v>
      </c>
    </row>
    <row r="76" spans="1:14" x14ac:dyDescent="0.3">
      <c r="A76" s="2" t="s">
        <v>186</v>
      </c>
      <c r="B76" s="2" t="s">
        <v>187</v>
      </c>
      <c r="C76" s="2" t="s">
        <v>16</v>
      </c>
      <c r="D76" s="2">
        <v>29</v>
      </c>
      <c r="E76" s="2" t="s">
        <v>41</v>
      </c>
      <c r="F76" s="2" t="s">
        <v>73</v>
      </c>
      <c r="G76" s="2" t="s">
        <v>51</v>
      </c>
      <c r="H76" s="3">
        <v>44755</v>
      </c>
      <c r="I76" s="2">
        <v>4.2</v>
      </c>
      <c r="J76" s="2">
        <v>5</v>
      </c>
      <c r="K76" s="4">
        <v>40200</v>
      </c>
      <c r="L76" s="4">
        <v>45200</v>
      </c>
      <c r="M76" s="5">
        <f t="shared" si="4"/>
        <v>527600</v>
      </c>
      <c r="N76" s="6">
        <f t="shared" si="5"/>
        <v>5.2759999999999998</v>
      </c>
    </row>
    <row r="77" spans="1:14" x14ac:dyDescent="0.3">
      <c r="A77" s="2" t="s">
        <v>188</v>
      </c>
      <c r="B77" s="2" t="s">
        <v>189</v>
      </c>
      <c r="C77" s="2" t="s">
        <v>25</v>
      </c>
      <c r="D77" s="2">
        <v>30</v>
      </c>
      <c r="E77" s="2" t="s">
        <v>54</v>
      </c>
      <c r="F77" s="2" t="s">
        <v>55</v>
      </c>
      <c r="G77" s="2" t="s">
        <v>69</v>
      </c>
      <c r="H77" s="3">
        <v>43234</v>
      </c>
      <c r="I77" s="2">
        <v>8.5</v>
      </c>
      <c r="J77" s="2">
        <v>2</v>
      </c>
      <c r="K77" s="4">
        <v>86100</v>
      </c>
      <c r="L77" s="4">
        <v>51700</v>
      </c>
      <c r="M77" s="5">
        <f t="shared" si="4"/>
        <v>1084900</v>
      </c>
      <c r="N77" s="6">
        <f t="shared" si="5"/>
        <v>10.849</v>
      </c>
    </row>
    <row r="78" spans="1:14" x14ac:dyDescent="0.3">
      <c r="A78" s="2" t="s">
        <v>190</v>
      </c>
      <c r="B78" s="2" t="s">
        <v>191</v>
      </c>
      <c r="C78" s="2" t="s">
        <v>16</v>
      </c>
      <c r="D78" s="2">
        <v>28</v>
      </c>
      <c r="E78" s="2" t="s">
        <v>17</v>
      </c>
      <c r="F78" s="2" t="s">
        <v>26</v>
      </c>
      <c r="G78" s="2" t="s">
        <v>51</v>
      </c>
      <c r="H78" s="3">
        <v>43798</v>
      </c>
      <c r="I78" s="2">
        <v>6.9</v>
      </c>
      <c r="J78" s="2">
        <v>5</v>
      </c>
      <c r="K78" s="4">
        <v>126600</v>
      </c>
      <c r="L78" s="4">
        <v>142400</v>
      </c>
      <c r="M78" s="5">
        <f t="shared" si="4"/>
        <v>1661600</v>
      </c>
      <c r="N78" s="6">
        <f t="shared" si="5"/>
        <v>16.616</v>
      </c>
    </row>
    <row r="79" spans="1:14" x14ac:dyDescent="0.3">
      <c r="A79" s="2" t="s">
        <v>192</v>
      </c>
      <c r="B79" s="2" t="s">
        <v>193</v>
      </c>
      <c r="C79" s="2" t="s">
        <v>25</v>
      </c>
      <c r="D79" s="2">
        <v>24</v>
      </c>
      <c r="E79" s="2" t="s">
        <v>54</v>
      </c>
      <c r="F79" s="2" t="s">
        <v>34</v>
      </c>
      <c r="G79" s="2" t="s">
        <v>19</v>
      </c>
      <c r="H79" s="3">
        <v>44697</v>
      </c>
      <c r="I79" s="2">
        <v>4.2</v>
      </c>
      <c r="J79" s="2">
        <v>3</v>
      </c>
      <c r="K79" s="4">
        <v>59500</v>
      </c>
      <c r="L79" s="4">
        <v>46100</v>
      </c>
      <c r="M79" s="5">
        <f t="shared" si="4"/>
        <v>760100</v>
      </c>
      <c r="N79" s="6">
        <f t="shared" si="5"/>
        <v>7.601</v>
      </c>
    </row>
    <row r="80" spans="1:14" x14ac:dyDescent="0.3">
      <c r="A80" s="2" t="s">
        <v>194</v>
      </c>
      <c r="B80" s="2" t="s">
        <v>195</v>
      </c>
      <c r="C80" s="2" t="s">
        <v>25</v>
      </c>
      <c r="D80" s="2">
        <v>38</v>
      </c>
      <c r="E80" s="2" t="s">
        <v>47</v>
      </c>
      <c r="F80" s="2" t="s">
        <v>174</v>
      </c>
      <c r="G80" s="2" t="s">
        <v>42</v>
      </c>
      <c r="H80" s="3">
        <v>41689</v>
      </c>
      <c r="I80" s="2">
        <v>12.6</v>
      </c>
      <c r="J80" s="2">
        <v>4</v>
      </c>
      <c r="K80" s="4">
        <v>346100</v>
      </c>
      <c r="L80" s="4">
        <v>328800</v>
      </c>
      <c r="M80" s="5">
        <f t="shared" si="4"/>
        <v>4482000</v>
      </c>
      <c r="N80" s="6">
        <f t="shared" si="5"/>
        <v>44.82</v>
      </c>
    </row>
    <row r="81" spans="1:14" x14ac:dyDescent="0.3">
      <c r="A81" s="2" t="s">
        <v>196</v>
      </c>
      <c r="B81" s="2" t="s">
        <v>197</v>
      </c>
      <c r="C81" s="2" t="s">
        <v>16</v>
      </c>
      <c r="D81" s="2">
        <v>32</v>
      </c>
      <c r="E81" s="2" t="s">
        <v>29</v>
      </c>
      <c r="F81" s="2" t="s">
        <v>55</v>
      </c>
      <c r="G81" s="2" t="s">
        <v>64</v>
      </c>
      <c r="H81" s="3">
        <v>43337</v>
      </c>
      <c r="I81" s="2">
        <v>8.1</v>
      </c>
      <c r="J81" s="2">
        <v>4</v>
      </c>
      <c r="K81" s="4">
        <v>80300</v>
      </c>
      <c r="L81" s="4">
        <v>76300</v>
      </c>
      <c r="M81" s="5">
        <f t="shared" si="4"/>
        <v>1039900</v>
      </c>
      <c r="N81" s="6">
        <f t="shared" si="5"/>
        <v>10.398999999999999</v>
      </c>
    </row>
    <row r="82" spans="1:14" x14ac:dyDescent="0.3">
      <c r="A82" s="2" t="s">
        <v>198</v>
      </c>
      <c r="B82" s="2" t="s">
        <v>199</v>
      </c>
      <c r="C82" s="2" t="s">
        <v>25</v>
      </c>
      <c r="D82" s="2">
        <v>23</v>
      </c>
      <c r="E82" s="2" t="s">
        <v>41</v>
      </c>
      <c r="F82" s="2" t="s">
        <v>58</v>
      </c>
      <c r="G82" s="2" t="s">
        <v>51</v>
      </c>
      <c r="H82" s="3">
        <v>44909</v>
      </c>
      <c r="I82" s="2">
        <v>3.7</v>
      </c>
      <c r="J82" s="2">
        <v>4</v>
      </c>
      <c r="K82" s="4">
        <v>35900</v>
      </c>
      <c r="L82" s="4">
        <v>34100</v>
      </c>
      <c r="M82" s="5">
        <f t="shared" si="4"/>
        <v>464900</v>
      </c>
      <c r="N82" s="6">
        <f t="shared" si="5"/>
        <v>4.649</v>
      </c>
    </row>
    <row r="83" spans="1:14" x14ac:dyDescent="0.3">
      <c r="A83" s="2" t="s">
        <v>200</v>
      </c>
      <c r="B83" s="2" t="s">
        <v>201</v>
      </c>
      <c r="C83" s="2" t="s">
        <v>16</v>
      </c>
      <c r="D83" s="2">
        <v>26</v>
      </c>
      <c r="E83" s="2" t="s">
        <v>72</v>
      </c>
      <c r="F83" s="2" t="s">
        <v>73</v>
      </c>
      <c r="G83" s="2" t="s">
        <v>64</v>
      </c>
      <c r="H83" s="3">
        <v>45931</v>
      </c>
      <c r="I83" s="2">
        <v>0.8</v>
      </c>
      <c r="J83" s="2">
        <v>2</v>
      </c>
      <c r="K83" s="4">
        <v>33900</v>
      </c>
      <c r="L83" s="4">
        <v>20300</v>
      </c>
      <c r="M83" s="5">
        <f t="shared" si="4"/>
        <v>427100</v>
      </c>
      <c r="N83" s="6">
        <f t="shared" si="5"/>
        <v>4.2709999999999999</v>
      </c>
    </row>
    <row r="84" spans="1:14" x14ac:dyDescent="0.3">
      <c r="A84" s="2" t="s">
        <v>202</v>
      </c>
      <c r="B84" s="2" t="s">
        <v>203</v>
      </c>
      <c r="C84" s="2" t="s">
        <v>16</v>
      </c>
      <c r="D84" s="2">
        <v>34</v>
      </c>
      <c r="E84" s="2" t="s">
        <v>38</v>
      </c>
      <c r="F84" s="2" t="s">
        <v>26</v>
      </c>
      <c r="G84" s="2" t="s">
        <v>51</v>
      </c>
      <c r="H84" s="3">
        <v>42635</v>
      </c>
      <c r="I84" s="2">
        <v>10.1</v>
      </c>
      <c r="J84" s="2">
        <v>3</v>
      </c>
      <c r="K84" s="4">
        <v>137300</v>
      </c>
      <c r="L84" s="4">
        <v>106400</v>
      </c>
      <c r="M84" s="5">
        <f t="shared" si="4"/>
        <v>1754000</v>
      </c>
      <c r="N84" s="6">
        <f t="shared" si="5"/>
        <v>17.54</v>
      </c>
    </row>
    <row r="85" spans="1:14" x14ac:dyDescent="0.3">
      <c r="A85" s="2" t="s">
        <v>204</v>
      </c>
      <c r="B85" s="2" t="s">
        <v>205</v>
      </c>
      <c r="C85" s="2" t="s">
        <v>16</v>
      </c>
      <c r="D85" s="2">
        <v>26</v>
      </c>
      <c r="E85" s="2" t="s">
        <v>54</v>
      </c>
      <c r="F85" s="2" t="s">
        <v>34</v>
      </c>
      <c r="G85" s="2" t="s">
        <v>69</v>
      </c>
      <c r="H85" s="3">
        <v>44701</v>
      </c>
      <c r="I85" s="2">
        <v>4.2</v>
      </c>
      <c r="J85" s="2">
        <v>1</v>
      </c>
      <c r="K85" s="4">
        <v>55800</v>
      </c>
      <c r="L85" s="4">
        <v>23700</v>
      </c>
      <c r="M85" s="5">
        <f t="shared" si="4"/>
        <v>693300</v>
      </c>
      <c r="N85" s="6">
        <f t="shared" si="5"/>
        <v>6.9329999999999998</v>
      </c>
    </row>
    <row r="86" spans="1:14" x14ac:dyDescent="0.3">
      <c r="A86" s="2" t="s">
        <v>206</v>
      </c>
      <c r="B86" s="2" t="s">
        <v>207</v>
      </c>
      <c r="C86" s="2" t="s">
        <v>25</v>
      </c>
      <c r="D86" s="2">
        <v>25</v>
      </c>
      <c r="E86" s="2" t="s">
        <v>54</v>
      </c>
      <c r="F86" s="2" t="s">
        <v>34</v>
      </c>
      <c r="G86" s="2" t="s">
        <v>35</v>
      </c>
      <c r="H86" s="3">
        <v>45381</v>
      </c>
      <c r="I86" s="2">
        <v>2.2999999999999998</v>
      </c>
      <c r="J86" s="2">
        <v>3</v>
      </c>
      <c r="K86" s="4">
        <v>52200</v>
      </c>
      <c r="L86" s="4">
        <v>40500</v>
      </c>
      <c r="M86" s="5">
        <f t="shared" si="4"/>
        <v>666900</v>
      </c>
      <c r="N86" s="6">
        <f t="shared" si="5"/>
        <v>6.6689999999999996</v>
      </c>
    </row>
    <row r="87" spans="1:14" x14ac:dyDescent="0.3">
      <c r="A87" s="2" t="s">
        <v>208</v>
      </c>
      <c r="B87" s="2" t="s">
        <v>209</v>
      </c>
      <c r="C87" s="2" t="s">
        <v>16</v>
      </c>
      <c r="D87" s="2">
        <v>28</v>
      </c>
      <c r="E87" s="2" t="s">
        <v>29</v>
      </c>
      <c r="F87" s="2" t="s">
        <v>34</v>
      </c>
      <c r="G87" s="2" t="s">
        <v>35</v>
      </c>
      <c r="H87" s="3">
        <v>44929</v>
      </c>
      <c r="I87" s="2">
        <v>3.7</v>
      </c>
      <c r="J87" s="2">
        <v>4</v>
      </c>
      <c r="K87" s="4">
        <v>58500</v>
      </c>
      <c r="L87" s="4">
        <v>55600</v>
      </c>
      <c r="M87" s="5">
        <f t="shared" si="4"/>
        <v>757600</v>
      </c>
      <c r="N87" s="6">
        <f t="shared" si="5"/>
        <v>7.5759999999999996</v>
      </c>
    </row>
    <row r="88" spans="1:14" x14ac:dyDescent="0.3">
      <c r="A88" s="2" t="s">
        <v>210</v>
      </c>
      <c r="B88" s="2" t="s">
        <v>211</v>
      </c>
      <c r="C88" s="2" t="s">
        <v>25</v>
      </c>
      <c r="D88" s="2">
        <v>34</v>
      </c>
      <c r="E88" s="2" t="s">
        <v>47</v>
      </c>
      <c r="F88" s="2" t="s">
        <v>26</v>
      </c>
      <c r="G88" s="2" t="s">
        <v>42</v>
      </c>
      <c r="H88" s="3">
        <v>41812</v>
      </c>
      <c r="I88" s="2">
        <v>12.1</v>
      </c>
      <c r="J88" s="2">
        <v>2</v>
      </c>
      <c r="K88" s="4">
        <v>126900</v>
      </c>
      <c r="L88" s="4">
        <v>76100</v>
      </c>
      <c r="M88" s="5">
        <f t="shared" si="4"/>
        <v>1598900</v>
      </c>
      <c r="N88" s="6">
        <f t="shared" si="5"/>
        <v>15.989000000000001</v>
      </c>
    </row>
    <row r="89" spans="1:14" x14ac:dyDescent="0.3">
      <c r="A89" s="2" t="s">
        <v>212</v>
      </c>
      <c r="B89" s="2" t="s">
        <v>118</v>
      </c>
      <c r="C89" s="2" t="s">
        <v>16</v>
      </c>
      <c r="D89" s="2">
        <v>28</v>
      </c>
      <c r="E89" s="2" t="s">
        <v>38</v>
      </c>
      <c r="F89" s="2" t="s">
        <v>18</v>
      </c>
      <c r="G89" s="2" t="s">
        <v>19</v>
      </c>
      <c r="H89" s="3">
        <v>43520</v>
      </c>
      <c r="I89" s="2">
        <v>7.7</v>
      </c>
      <c r="J89" s="2">
        <v>3</v>
      </c>
      <c r="K89" s="4">
        <v>54700</v>
      </c>
      <c r="L89" s="4">
        <v>42400</v>
      </c>
      <c r="M89" s="5">
        <f t="shared" si="4"/>
        <v>698800</v>
      </c>
      <c r="N89" s="6">
        <f t="shared" si="5"/>
        <v>6.9880000000000004</v>
      </c>
    </row>
    <row r="90" spans="1:14" x14ac:dyDescent="0.3">
      <c r="A90" s="2" t="s">
        <v>213</v>
      </c>
      <c r="B90" s="2" t="s">
        <v>214</v>
      </c>
      <c r="C90" s="2" t="s">
        <v>25</v>
      </c>
      <c r="D90" s="2">
        <v>27</v>
      </c>
      <c r="E90" s="2" t="s">
        <v>54</v>
      </c>
      <c r="F90" s="2" t="s">
        <v>18</v>
      </c>
      <c r="G90" s="2" t="s">
        <v>19</v>
      </c>
      <c r="H90" s="3">
        <v>44252</v>
      </c>
      <c r="I90" s="2">
        <v>5.5</v>
      </c>
      <c r="J90" s="2">
        <v>4</v>
      </c>
      <c r="K90" s="4">
        <v>62000</v>
      </c>
      <c r="L90" s="4">
        <v>58900</v>
      </c>
      <c r="M90" s="5">
        <f t="shared" si="4"/>
        <v>802900</v>
      </c>
      <c r="N90" s="6">
        <f t="shared" si="5"/>
        <v>8.0289999999999999</v>
      </c>
    </row>
    <row r="91" spans="1:14" x14ac:dyDescent="0.3">
      <c r="A91" s="2" t="s">
        <v>215</v>
      </c>
      <c r="B91" s="2" t="s">
        <v>216</v>
      </c>
      <c r="C91" s="2" t="s">
        <v>16</v>
      </c>
      <c r="D91" s="2">
        <v>23</v>
      </c>
      <c r="E91" s="2" t="s">
        <v>22</v>
      </c>
      <c r="F91" s="2" t="s">
        <v>34</v>
      </c>
      <c r="G91" s="2" t="s">
        <v>19</v>
      </c>
      <c r="H91" s="3">
        <v>45189</v>
      </c>
      <c r="I91" s="2">
        <v>3</v>
      </c>
      <c r="J91" s="2">
        <v>5</v>
      </c>
      <c r="K91" s="4">
        <v>49300</v>
      </c>
      <c r="L91" s="4">
        <v>55500</v>
      </c>
      <c r="M91" s="5">
        <f t="shared" si="4"/>
        <v>647100</v>
      </c>
      <c r="N91" s="6">
        <f t="shared" si="5"/>
        <v>6.4710000000000001</v>
      </c>
    </row>
    <row r="92" spans="1:14" x14ac:dyDescent="0.3">
      <c r="A92" s="2" t="s">
        <v>217</v>
      </c>
      <c r="B92" s="2" t="s">
        <v>218</v>
      </c>
      <c r="C92" s="2" t="s">
        <v>25</v>
      </c>
      <c r="D92" s="2">
        <v>26</v>
      </c>
      <c r="E92" s="2" t="s">
        <v>29</v>
      </c>
      <c r="F92" s="2" t="s">
        <v>18</v>
      </c>
      <c r="G92" s="2" t="s">
        <v>35</v>
      </c>
      <c r="H92" s="3">
        <v>44532</v>
      </c>
      <c r="I92" s="2">
        <v>4.8</v>
      </c>
      <c r="J92" s="2">
        <v>2</v>
      </c>
      <c r="K92" s="4">
        <v>63400</v>
      </c>
      <c r="L92" s="4">
        <v>38000</v>
      </c>
      <c r="M92" s="5">
        <f t="shared" si="4"/>
        <v>798800</v>
      </c>
      <c r="N92" s="6">
        <f t="shared" si="5"/>
        <v>7.9880000000000004</v>
      </c>
    </row>
    <row r="93" spans="1:14" x14ac:dyDescent="0.3">
      <c r="A93" s="2" t="s">
        <v>219</v>
      </c>
      <c r="B93" s="2" t="s">
        <v>220</v>
      </c>
      <c r="C93" s="2" t="s">
        <v>25</v>
      </c>
      <c r="D93" s="2">
        <v>31</v>
      </c>
      <c r="E93" s="2" t="s">
        <v>17</v>
      </c>
      <c r="F93" s="2" t="s">
        <v>26</v>
      </c>
      <c r="G93" s="2" t="s">
        <v>42</v>
      </c>
      <c r="H93" s="3">
        <v>43527</v>
      </c>
      <c r="I93" s="2">
        <v>7.4</v>
      </c>
      <c r="J93" s="2">
        <v>3</v>
      </c>
      <c r="K93" s="4">
        <v>113800</v>
      </c>
      <c r="L93" s="4">
        <v>88200</v>
      </c>
      <c r="M93" s="5">
        <f t="shared" si="4"/>
        <v>1453800</v>
      </c>
      <c r="N93" s="6">
        <f t="shared" si="5"/>
        <v>14.538</v>
      </c>
    </row>
    <row r="94" spans="1:14" x14ac:dyDescent="0.3">
      <c r="A94" s="2" t="s">
        <v>221</v>
      </c>
      <c r="B94" s="2" t="s">
        <v>222</v>
      </c>
      <c r="C94" s="2" t="s">
        <v>25</v>
      </c>
      <c r="D94" s="2">
        <v>28</v>
      </c>
      <c r="E94" s="2" t="s">
        <v>41</v>
      </c>
      <c r="F94" s="2" t="s">
        <v>73</v>
      </c>
      <c r="G94" s="2" t="s">
        <v>51</v>
      </c>
      <c r="H94" s="3">
        <v>45477</v>
      </c>
      <c r="I94" s="2">
        <v>2.2000000000000002</v>
      </c>
      <c r="J94" s="2">
        <v>5</v>
      </c>
      <c r="K94" s="4">
        <v>43100</v>
      </c>
      <c r="L94" s="4">
        <v>48500</v>
      </c>
      <c r="M94" s="5">
        <f t="shared" si="4"/>
        <v>565700</v>
      </c>
      <c r="N94" s="6">
        <f t="shared" si="5"/>
        <v>5.657</v>
      </c>
    </row>
    <row r="95" spans="1:14" x14ac:dyDescent="0.3">
      <c r="A95" s="2" t="s">
        <v>223</v>
      </c>
      <c r="B95" s="2" t="s">
        <v>224</v>
      </c>
      <c r="C95" s="2" t="s">
        <v>16</v>
      </c>
      <c r="D95" s="2">
        <v>35</v>
      </c>
      <c r="E95" s="2" t="s">
        <v>38</v>
      </c>
      <c r="F95" s="2" t="s">
        <v>174</v>
      </c>
      <c r="G95" s="2" t="s">
        <v>19</v>
      </c>
      <c r="H95" s="3">
        <v>41390</v>
      </c>
      <c r="I95" s="2">
        <v>13.4</v>
      </c>
      <c r="J95" s="2">
        <v>4</v>
      </c>
      <c r="K95" s="4">
        <v>264100</v>
      </c>
      <c r="L95" s="4">
        <v>250900</v>
      </c>
      <c r="M95" s="5">
        <f t="shared" si="4"/>
        <v>3420100</v>
      </c>
      <c r="N95" s="6">
        <f t="shared" si="5"/>
        <v>34.201000000000001</v>
      </c>
    </row>
    <row r="96" spans="1:14" x14ac:dyDescent="0.3">
      <c r="A96" s="2" t="s">
        <v>225</v>
      </c>
      <c r="B96" s="2" t="s">
        <v>226</v>
      </c>
      <c r="C96" s="2" t="s">
        <v>25</v>
      </c>
      <c r="D96" s="2">
        <v>22</v>
      </c>
      <c r="E96" s="2" t="s">
        <v>54</v>
      </c>
      <c r="F96" s="2" t="s">
        <v>73</v>
      </c>
      <c r="G96" s="2" t="s">
        <v>69</v>
      </c>
      <c r="H96" s="3">
        <v>45723</v>
      </c>
      <c r="I96" s="2">
        <v>1.4</v>
      </c>
      <c r="J96" s="2">
        <v>4</v>
      </c>
      <c r="K96" s="4">
        <v>36500</v>
      </c>
      <c r="L96" s="4">
        <v>34700</v>
      </c>
      <c r="M96" s="5">
        <f t="shared" si="4"/>
        <v>472700</v>
      </c>
      <c r="N96" s="6">
        <f t="shared" si="5"/>
        <v>4.7270000000000003</v>
      </c>
    </row>
    <row r="97" spans="1:14" x14ac:dyDescent="0.3">
      <c r="A97" s="2" t="s">
        <v>227</v>
      </c>
      <c r="B97" s="2" t="s">
        <v>228</v>
      </c>
      <c r="C97" s="2" t="s">
        <v>16</v>
      </c>
      <c r="D97" s="2">
        <v>35</v>
      </c>
      <c r="E97" s="2" t="s">
        <v>47</v>
      </c>
      <c r="F97" s="2" t="s">
        <v>61</v>
      </c>
      <c r="G97" s="2" t="s">
        <v>35</v>
      </c>
      <c r="H97" s="3">
        <v>42843</v>
      </c>
      <c r="I97" s="2">
        <v>9.3000000000000007</v>
      </c>
      <c r="J97" s="2">
        <v>3</v>
      </c>
      <c r="K97" s="4">
        <v>90300</v>
      </c>
      <c r="L97" s="4">
        <v>70000</v>
      </c>
      <c r="M97" s="5">
        <f t="shared" si="4"/>
        <v>1153600</v>
      </c>
      <c r="N97" s="6">
        <f t="shared" si="5"/>
        <v>11.536</v>
      </c>
    </row>
    <row r="98" spans="1:14" x14ac:dyDescent="0.3">
      <c r="A98" s="2" t="s">
        <v>229</v>
      </c>
      <c r="B98" s="2" t="s">
        <v>230</v>
      </c>
      <c r="C98" s="2" t="s">
        <v>25</v>
      </c>
      <c r="D98" s="2">
        <v>24</v>
      </c>
      <c r="E98" s="2" t="s">
        <v>17</v>
      </c>
      <c r="F98" s="2" t="s">
        <v>73</v>
      </c>
      <c r="G98" s="2" t="s">
        <v>19</v>
      </c>
      <c r="H98" s="3">
        <v>44731</v>
      </c>
      <c r="I98" s="2">
        <v>4.3</v>
      </c>
      <c r="J98" s="2">
        <v>4</v>
      </c>
      <c r="K98" s="4">
        <v>32500</v>
      </c>
      <c r="L98" s="4">
        <v>30900</v>
      </c>
      <c r="M98" s="5">
        <f t="shared" ref="M98:M129" si="6">K98*12+L98</f>
        <v>420900</v>
      </c>
      <c r="N98" s="6">
        <f t="shared" ref="N98:N129" si="7">M98/100000</f>
        <v>4.2089999999999996</v>
      </c>
    </row>
    <row r="99" spans="1:14" x14ac:dyDescent="0.3">
      <c r="A99" s="2" t="s">
        <v>231</v>
      </c>
      <c r="B99" s="2" t="s">
        <v>232</v>
      </c>
      <c r="C99" s="2" t="s">
        <v>25</v>
      </c>
      <c r="D99" s="2">
        <v>26</v>
      </c>
      <c r="E99" s="2" t="s">
        <v>54</v>
      </c>
      <c r="F99" s="2" t="s">
        <v>73</v>
      </c>
      <c r="G99" s="2" t="s">
        <v>19</v>
      </c>
      <c r="H99" s="3">
        <v>44967</v>
      </c>
      <c r="I99" s="2">
        <v>3.7</v>
      </c>
      <c r="J99" s="2">
        <v>3</v>
      </c>
      <c r="K99" s="4">
        <v>44900</v>
      </c>
      <c r="L99" s="4">
        <v>34800</v>
      </c>
      <c r="M99" s="5">
        <f t="shared" si="6"/>
        <v>573600</v>
      </c>
      <c r="N99" s="6">
        <f t="shared" si="7"/>
        <v>5.7359999999999998</v>
      </c>
    </row>
    <row r="100" spans="1:14" x14ac:dyDescent="0.3">
      <c r="A100" s="2" t="s">
        <v>233</v>
      </c>
      <c r="B100" s="2" t="s">
        <v>234</v>
      </c>
      <c r="C100" s="2" t="s">
        <v>25</v>
      </c>
      <c r="D100" s="2">
        <v>38</v>
      </c>
      <c r="E100" s="2" t="s">
        <v>41</v>
      </c>
      <c r="F100" s="2" t="s">
        <v>76</v>
      </c>
      <c r="G100" s="2" t="s">
        <v>51</v>
      </c>
      <c r="H100" s="3">
        <v>41734</v>
      </c>
      <c r="I100" s="2">
        <v>12.5</v>
      </c>
      <c r="J100" s="2">
        <v>4</v>
      </c>
      <c r="K100" s="4">
        <v>177700</v>
      </c>
      <c r="L100" s="4">
        <v>168800</v>
      </c>
      <c r="M100" s="5">
        <f t="shared" si="6"/>
        <v>2301200</v>
      </c>
      <c r="N100" s="6">
        <f t="shared" si="7"/>
        <v>23.012</v>
      </c>
    </row>
    <row r="101" spans="1:14" x14ac:dyDescent="0.3">
      <c r="A101" s="2" t="s">
        <v>235</v>
      </c>
      <c r="B101" s="2" t="s">
        <v>236</v>
      </c>
      <c r="C101" s="2" t="s">
        <v>16</v>
      </c>
      <c r="D101" s="2">
        <v>38</v>
      </c>
      <c r="E101" s="2" t="s">
        <v>54</v>
      </c>
      <c r="F101" s="2" t="s">
        <v>174</v>
      </c>
      <c r="G101" s="2" t="s">
        <v>42</v>
      </c>
      <c r="H101" s="3">
        <v>41581</v>
      </c>
      <c r="I101" s="2">
        <v>12.9</v>
      </c>
      <c r="J101" s="2">
        <v>1</v>
      </c>
      <c r="K101" s="4">
        <v>308300</v>
      </c>
      <c r="L101" s="4">
        <v>131000</v>
      </c>
      <c r="M101" s="5">
        <f t="shared" si="6"/>
        <v>3830600</v>
      </c>
      <c r="N101" s="6">
        <f t="shared" si="7"/>
        <v>38.305999999999997</v>
      </c>
    </row>
    <row r="102" spans="1:14" x14ac:dyDescent="0.3">
      <c r="A102" s="2" t="s">
        <v>237</v>
      </c>
      <c r="B102" s="2" t="s">
        <v>238</v>
      </c>
      <c r="C102" s="2" t="s">
        <v>16</v>
      </c>
      <c r="D102" s="2">
        <v>28</v>
      </c>
      <c r="E102" s="2" t="s">
        <v>38</v>
      </c>
      <c r="F102" s="2" t="s">
        <v>55</v>
      </c>
      <c r="G102" s="2" t="s">
        <v>19</v>
      </c>
      <c r="H102" s="3">
        <v>43578</v>
      </c>
      <c r="I102" s="2">
        <v>7.4</v>
      </c>
      <c r="J102" s="2">
        <v>1</v>
      </c>
      <c r="K102" s="4">
        <v>82400</v>
      </c>
      <c r="L102" s="4">
        <v>35000</v>
      </c>
      <c r="M102" s="5">
        <f t="shared" si="6"/>
        <v>1023800</v>
      </c>
      <c r="N102" s="6">
        <f t="shared" si="7"/>
        <v>10.238</v>
      </c>
    </row>
    <row r="103" spans="1:14" x14ac:dyDescent="0.3">
      <c r="A103" s="2" t="s">
        <v>239</v>
      </c>
      <c r="B103" s="2" t="s">
        <v>240</v>
      </c>
      <c r="C103" s="2" t="s">
        <v>25</v>
      </c>
      <c r="D103" s="2">
        <v>26</v>
      </c>
      <c r="E103" s="2" t="s">
        <v>47</v>
      </c>
      <c r="F103" s="2" t="s">
        <v>18</v>
      </c>
      <c r="G103" s="2" t="s">
        <v>19</v>
      </c>
      <c r="H103" s="3">
        <v>44760</v>
      </c>
      <c r="I103" s="2">
        <v>4.0999999999999996</v>
      </c>
      <c r="J103" s="2">
        <v>3</v>
      </c>
      <c r="K103" s="4">
        <v>50600</v>
      </c>
      <c r="L103" s="4">
        <v>39200</v>
      </c>
      <c r="M103" s="5">
        <f t="shared" si="6"/>
        <v>646400</v>
      </c>
      <c r="N103" s="6">
        <f t="shared" si="7"/>
        <v>6.4640000000000004</v>
      </c>
    </row>
    <row r="104" spans="1:14" x14ac:dyDescent="0.3">
      <c r="A104" s="2" t="s">
        <v>241</v>
      </c>
      <c r="B104" s="2" t="s">
        <v>242</v>
      </c>
      <c r="C104" s="2" t="s">
        <v>16</v>
      </c>
      <c r="D104" s="2">
        <v>39</v>
      </c>
      <c r="E104" s="2" t="s">
        <v>72</v>
      </c>
      <c r="F104" s="2" t="s">
        <v>48</v>
      </c>
      <c r="G104" s="2" t="s">
        <v>64</v>
      </c>
      <c r="H104" s="3">
        <v>40416</v>
      </c>
      <c r="I104" s="2">
        <v>16.100000000000001</v>
      </c>
      <c r="J104" s="2">
        <v>4</v>
      </c>
      <c r="K104" s="4">
        <v>586800</v>
      </c>
      <c r="L104" s="4">
        <v>557500</v>
      </c>
      <c r="M104" s="5">
        <f t="shared" si="6"/>
        <v>7599100</v>
      </c>
      <c r="N104" s="6">
        <f t="shared" si="7"/>
        <v>75.991</v>
      </c>
    </row>
    <row r="105" spans="1:14" x14ac:dyDescent="0.3">
      <c r="A105" s="2" t="s">
        <v>243</v>
      </c>
      <c r="B105" s="2" t="s">
        <v>244</v>
      </c>
      <c r="C105" s="2" t="s">
        <v>25</v>
      </c>
      <c r="D105" s="2">
        <v>32</v>
      </c>
      <c r="E105" s="2" t="s">
        <v>72</v>
      </c>
      <c r="F105" s="2" t="s">
        <v>26</v>
      </c>
      <c r="G105" s="2" t="s">
        <v>51</v>
      </c>
      <c r="H105" s="3">
        <v>43295</v>
      </c>
      <c r="I105" s="2">
        <v>8.1999999999999993</v>
      </c>
      <c r="J105" s="2">
        <v>5</v>
      </c>
      <c r="K105" s="4">
        <v>116300</v>
      </c>
      <c r="L105" s="4">
        <v>130800</v>
      </c>
      <c r="M105" s="5">
        <f t="shared" si="6"/>
        <v>1526400</v>
      </c>
      <c r="N105" s="6">
        <f t="shared" si="7"/>
        <v>15.263999999999999</v>
      </c>
    </row>
    <row r="106" spans="1:14" x14ac:dyDescent="0.3">
      <c r="A106" s="2" t="s">
        <v>245</v>
      </c>
      <c r="B106" s="2" t="s">
        <v>246</v>
      </c>
      <c r="C106" s="2" t="s">
        <v>16</v>
      </c>
      <c r="D106" s="2">
        <v>28</v>
      </c>
      <c r="E106" s="2" t="s">
        <v>22</v>
      </c>
      <c r="F106" s="2" t="s">
        <v>73</v>
      </c>
      <c r="G106" s="2" t="s">
        <v>35</v>
      </c>
      <c r="H106" s="3">
        <v>44618</v>
      </c>
      <c r="I106" s="2">
        <v>4.4000000000000004</v>
      </c>
      <c r="J106" s="2">
        <v>5</v>
      </c>
      <c r="K106" s="4">
        <v>37900</v>
      </c>
      <c r="L106" s="4">
        <v>42600</v>
      </c>
      <c r="M106" s="5">
        <f t="shared" si="6"/>
        <v>497400</v>
      </c>
      <c r="N106" s="6">
        <f t="shared" si="7"/>
        <v>4.9740000000000002</v>
      </c>
    </row>
    <row r="107" spans="1:14" x14ac:dyDescent="0.3">
      <c r="A107" s="2" t="s">
        <v>247</v>
      </c>
      <c r="B107" s="2" t="s">
        <v>33</v>
      </c>
      <c r="C107" s="2" t="s">
        <v>16</v>
      </c>
      <c r="D107" s="2">
        <v>28</v>
      </c>
      <c r="E107" s="2" t="s">
        <v>47</v>
      </c>
      <c r="F107" s="2" t="s">
        <v>58</v>
      </c>
      <c r="G107" s="2" t="s">
        <v>42</v>
      </c>
      <c r="H107" s="3">
        <v>44925</v>
      </c>
      <c r="I107" s="2">
        <v>3.8</v>
      </c>
      <c r="J107" s="2">
        <v>4</v>
      </c>
      <c r="K107" s="4">
        <v>41800</v>
      </c>
      <c r="L107" s="4">
        <v>39700</v>
      </c>
      <c r="M107" s="5">
        <f t="shared" si="6"/>
        <v>541300</v>
      </c>
      <c r="N107" s="6">
        <f t="shared" si="7"/>
        <v>5.4130000000000003</v>
      </c>
    </row>
    <row r="108" spans="1:14" x14ac:dyDescent="0.3">
      <c r="A108" s="2" t="s">
        <v>248</v>
      </c>
      <c r="B108" s="2" t="s">
        <v>249</v>
      </c>
      <c r="C108" s="2" t="s">
        <v>16</v>
      </c>
      <c r="D108" s="2">
        <v>29</v>
      </c>
      <c r="E108" s="2" t="s">
        <v>22</v>
      </c>
      <c r="F108" s="2" t="s">
        <v>18</v>
      </c>
      <c r="G108" s="2" t="s">
        <v>42</v>
      </c>
      <c r="H108" s="3">
        <v>44305</v>
      </c>
      <c r="I108" s="2">
        <v>5.5</v>
      </c>
      <c r="J108" s="2">
        <v>4</v>
      </c>
      <c r="K108" s="4">
        <v>53600</v>
      </c>
      <c r="L108" s="4">
        <v>50900</v>
      </c>
      <c r="M108" s="5">
        <f t="shared" si="6"/>
        <v>694100</v>
      </c>
      <c r="N108" s="6">
        <f t="shared" si="7"/>
        <v>6.9409999999999998</v>
      </c>
    </row>
    <row r="109" spans="1:14" x14ac:dyDescent="0.3">
      <c r="A109" s="2" t="s">
        <v>250</v>
      </c>
      <c r="B109" s="2" t="s">
        <v>251</v>
      </c>
      <c r="C109" s="2" t="s">
        <v>25</v>
      </c>
      <c r="D109" s="2">
        <v>27</v>
      </c>
      <c r="E109" s="2" t="s">
        <v>41</v>
      </c>
      <c r="F109" s="2" t="s">
        <v>26</v>
      </c>
      <c r="G109" s="2" t="s">
        <v>64</v>
      </c>
      <c r="H109" s="3">
        <v>43788</v>
      </c>
      <c r="I109" s="2">
        <v>6.8</v>
      </c>
      <c r="J109" s="2">
        <v>3</v>
      </c>
      <c r="K109" s="4">
        <v>109400</v>
      </c>
      <c r="L109" s="4">
        <v>84800</v>
      </c>
      <c r="M109" s="5">
        <f t="shared" si="6"/>
        <v>1397600</v>
      </c>
      <c r="N109" s="6">
        <f t="shared" si="7"/>
        <v>13.976000000000001</v>
      </c>
    </row>
    <row r="110" spans="1:14" x14ac:dyDescent="0.3">
      <c r="A110" s="2" t="s">
        <v>252</v>
      </c>
      <c r="B110" s="2" t="s">
        <v>197</v>
      </c>
      <c r="C110" s="2" t="s">
        <v>16</v>
      </c>
      <c r="D110" s="2">
        <v>23</v>
      </c>
      <c r="E110" s="2" t="s">
        <v>54</v>
      </c>
      <c r="F110" s="2" t="s">
        <v>58</v>
      </c>
      <c r="G110" s="2" t="s">
        <v>64</v>
      </c>
      <c r="H110" s="3">
        <v>45640</v>
      </c>
      <c r="I110" s="2">
        <v>1.9</v>
      </c>
      <c r="J110" s="2">
        <v>2</v>
      </c>
      <c r="K110" s="4">
        <v>38900</v>
      </c>
      <c r="L110" s="4">
        <v>23300</v>
      </c>
      <c r="M110" s="5">
        <f t="shared" si="6"/>
        <v>490100</v>
      </c>
      <c r="N110" s="6">
        <f t="shared" si="7"/>
        <v>4.9009999999999998</v>
      </c>
    </row>
    <row r="111" spans="1:14" x14ac:dyDescent="0.3">
      <c r="A111" s="2" t="s">
        <v>253</v>
      </c>
      <c r="B111" s="2" t="s">
        <v>254</v>
      </c>
      <c r="C111" s="2" t="s">
        <v>16</v>
      </c>
      <c r="D111" s="2">
        <v>28</v>
      </c>
      <c r="E111" s="2" t="s">
        <v>72</v>
      </c>
      <c r="F111" s="2" t="s">
        <v>34</v>
      </c>
      <c r="G111" s="2" t="s">
        <v>51</v>
      </c>
      <c r="H111" s="3">
        <v>44778</v>
      </c>
      <c r="I111" s="2">
        <v>4.2</v>
      </c>
      <c r="J111" s="2">
        <v>5</v>
      </c>
      <c r="K111" s="4">
        <v>47400</v>
      </c>
      <c r="L111" s="4">
        <v>53300</v>
      </c>
      <c r="M111" s="5">
        <f t="shared" si="6"/>
        <v>622100</v>
      </c>
      <c r="N111" s="6">
        <f t="shared" si="7"/>
        <v>6.2210000000000001</v>
      </c>
    </row>
    <row r="112" spans="1:14" x14ac:dyDescent="0.3">
      <c r="A112" s="2" t="s">
        <v>255</v>
      </c>
      <c r="B112" s="2" t="s">
        <v>256</v>
      </c>
      <c r="C112" s="2" t="s">
        <v>25</v>
      </c>
      <c r="D112" s="2">
        <v>37</v>
      </c>
      <c r="E112" s="2" t="s">
        <v>47</v>
      </c>
      <c r="F112" s="2" t="s">
        <v>174</v>
      </c>
      <c r="G112" s="2" t="s">
        <v>51</v>
      </c>
      <c r="H112" s="3">
        <v>41697</v>
      </c>
      <c r="I112" s="2">
        <v>12.4</v>
      </c>
      <c r="J112" s="2">
        <v>3</v>
      </c>
      <c r="K112" s="4">
        <v>248600</v>
      </c>
      <c r="L112" s="4">
        <v>192700</v>
      </c>
      <c r="M112" s="5">
        <f t="shared" si="6"/>
        <v>3175900</v>
      </c>
      <c r="N112" s="6">
        <f t="shared" si="7"/>
        <v>31.759</v>
      </c>
    </row>
    <row r="113" spans="1:14" x14ac:dyDescent="0.3">
      <c r="A113" s="2" t="s">
        <v>257</v>
      </c>
      <c r="B113" s="2" t="s">
        <v>258</v>
      </c>
      <c r="C113" s="2" t="s">
        <v>25</v>
      </c>
      <c r="D113" s="2">
        <v>26</v>
      </c>
      <c r="E113" s="2" t="s">
        <v>54</v>
      </c>
      <c r="F113" s="2" t="s">
        <v>73</v>
      </c>
      <c r="G113" s="2" t="s">
        <v>51</v>
      </c>
      <c r="H113" s="3">
        <v>45323</v>
      </c>
      <c r="I113" s="2">
        <v>2.6</v>
      </c>
      <c r="J113" s="2">
        <v>3</v>
      </c>
      <c r="K113" s="4">
        <v>40300</v>
      </c>
      <c r="L113" s="4">
        <v>31200</v>
      </c>
      <c r="M113" s="5">
        <f t="shared" si="6"/>
        <v>514800</v>
      </c>
      <c r="N113" s="6">
        <f t="shared" si="7"/>
        <v>5.1479999999999997</v>
      </c>
    </row>
    <row r="114" spans="1:14" x14ac:dyDescent="0.3">
      <c r="A114" s="2" t="s">
        <v>259</v>
      </c>
      <c r="B114" s="2" t="s">
        <v>260</v>
      </c>
      <c r="C114" s="2" t="s">
        <v>25</v>
      </c>
      <c r="D114" s="2">
        <v>36</v>
      </c>
      <c r="E114" s="2" t="s">
        <v>38</v>
      </c>
      <c r="F114" s="2" t="s">
        <v>26</v>
      </c>
      <c r="G114" s="2" t="s">
        <v>51</v>
      </c>
      <c r="H114" s="3">
        <v>42559</v>
      </c>
      <c r="I114" s="2">
        <v>10.199999999999999</v>
      </c>
      <c r="J114" s="2">
        <v>3</v>
      </c>
      <c r="K114" s="4">
        <v>104200</v>
      </c>
      <c r="L114" s="4">
        <v>80800</v>
      </c>
      <c r="M114" s="5">
        <f t="shared" si="6"/>
        <v>1331200</v>
      </c>
      <c r="N114" s="6">
        <f t="shared" si="7"/>
        <v>13.311999999999999</v>
      </c>
    </row>
    <row r="115" spans="1:14" x14ac:dyDescent="0.3">
      <c r="A115" s="2" t="s">
        <v>261</v>
      </c>
      <c r="B115" s="2" t="s">
        <v>262</v>
      </c>
      <c r="C115" s="2" t="s">
        <v>25</v>
      </c>
      <c r="D115" s="2">
        <v>28</v>
      </c>
      <c r="E115" s="2" t="s">
        <v>17</v>
      </c>
      <c r="F115" s="2" t="s">
        <v>55</v>
      </c>
      <c r="G115" s="2" t="s">
        <v>19</v>
      </c>
      <c r="H115" s="3">
        <v>44360</v>
      </c>
      <c r="I115" s="2">
        <v>5.4</v>
      </c>
      <c r="J115" s="2">
        <v>2</v>
      </c>
      <c r="K115" s="4">
        <v>66800</v>
      </c>
      <c r="L115" s="4">
        <v>40100</v>
      </c>
      <c r="M115" s="5">
        <f t="shared" si="6"/>
        <v>841700</v>
      </c>
      <c r="N115" s="6">
        <f t="shared" si="7"/>
        <v>8.4169999999999998</v>
      </c>
    </row>
    <row r="116" spans="1:14" x14ac:dyDescent="0.3">
      <c r="A116" s="2" t="s">
        <v>263</v>
      </c>
      <c r="B116" s="2" t="s">
        <v>264</v>
      </c>
      <c r="C116" s="2" t="s">
        <v>16</v>
      </c>
      <c r="D116" s="2">
        <v>37</v>
      </c>
      <c r="E116" s="2" t="s">
        <v>17</v>
      </c>
      <c r="F116" s="2" t="s">
        <v>26</v>
      </c>
      <c r="G116" s="2" t="s">
        <v>69</v>
      </c>
      <c r="H116" s="3">
        <v>41552</v>
      </c>
      <c r="I116" s="2">
        <v>13</v>
      </c>
      <c r="J116" s="2">
        <v>4</v>
      </c>
      <c r="K116" s="4">
        <v>124900</v>
      </c>
      <c r="L116" s="4">
        <v>118700</v>
      </c>
      <c r="M116" s="5">
        <f t="shared" si="6"/>
        <v>1617500</v>
      </c>
      <c r="N116" s="6">
        <f t="shared" si="7"/>
        <v>16.175000000000001</v>
      </c>
    </row>
    <row r="117" spans="1:14" x14ac:dyDescent="0.3">
      <c r="A117" s="2" t="s">
        <v>265</v>
      </c>
      <c r="B117" s="2" t="s">
        <v>266</v>
      </c>
      <c r="C117" s="2" t="s">
        <v>25</v>
      </c>
      <c r="D117" s="2">
        <v>38</v>
      </c>
      <c r="E117" s="2" t="s">
        <v>29</v>
      </c>
      <c r="F117" s="2" t="s">
        <v>174</v>
      </c>
      <c r="G117" s="2" t="s">
        <v>35</v>
      </c>
      <c r="H117" s="3">
        <v>40862</v>
      </c>
      <c r="I117" s="2">
        <v>14.9</v>
      </c>
      <c r="J117" s="2">
        <v>3</v>
      </c>
      <c r="K117" s="4">
        <v>313700</v>
      </c>
      <c r="L117" s="4">
        <v>243100</v>
      </c>
      <c r="M117" s="5">
        <f t="shared" si="6"/>
        <v>4007500</v>
      </c>
      <c r="N117" s="6">
        <f t="shared" si="7"/>
        <v>40.075000000000003</v>
      </c>
    </row>
    <row r="118" spans="1:14" x14ac:dyDescent="0.3">
      <c r="A118" s="2" t="s">
        <v>267</v>
      </c>
      <c r="B118" s="2" t="s">
        <v>268</v>
      </c>
      <c r="C118" s="2" t="s">
        <v>16</v>
      </c>
      <c r="D118" s="2">
        <v>28</v>
      </c>
      <c r="E118" s="2" t="s">
        <v>54</v>
      </c>
      <c r="F118" s="2" t="s">
        <v>61</v>
      </c>
      <c r="G118" s="2" t="s">
        <v>69</v>
      </c>
      <c r="H118" s="3">
        <v>44669</v>
      </c>
      <c r="I118" s="2">
        <v>4.5</v>
      </c>
      <c r="J118" s="2">
        <v>4</v>
      </c>
      <c r="K118" s="4">
        <v>91700</v>
      </c>
      <c r="L118" s="4">
        <v>87100</v>
      </c>
      <c r="M118" s="5">
        <f t="shared" si="6"/>
        <v>1187500</v>
      </c>
      <c r="N118" s="6">
        <f t="shared" si="7"/>
        <v>11.875</v>
      </c>
    </row>
    <row r="119" spans="1:14" x14ac:dyDescent="0.3">
      <c r="A119" s="2" t="s">
        <v>269</v>
      </c>
      <c r="B119" s="2" t="s">
        <v>270</v>
      </c>
      <c r="C119" s="2" t="s">
        <v>16</v>
      </c>
      <c r="D119" s="2">
        <v>30</v>
      </c>
      <c r="E119" s="2" t="s">
        <v>29</v>
      </c>
      <c r="F119" s="2" t="s">
        <v>55</v>
      </c>
      <c r="G119" s="2" t="s">
        <v>64</v>
      </c>
      <c r="H119" s="3">
        <v>43002</v>
      </c>
      <c r="I119" s="2">
        <v>8.9</v>
      </c>
      <c r="J119" s="2">
        <v>4</v>
      </c>
      <c r="K119" s="4">
        <v>75100</v>
      </c>
      <c r="L119" s="4">
        <v>71300</v>
      </c>
      <c r="M119" s="5">
        <f t="shared" si="6"/>
        <v>972500</v>
      </c>
      <c r="N119" s="6">
        <f t="shared" si="7"/>
        <v>9.7249999999999996</v>
      </c>
    </row>
    <row r="120" spans="1:14" x14ac:dyDescent="0.3">
      <c r="A120" s="2" t="s">
        <v>271</v>
      </c>
      <c r="B120" s="2" t="s">
        <v>272</v>
      </c>
      <c r="C120" s="2" t="s">
        <v>25</v>
      </c>
      <c r="D120" s="2">
        <v>30</v>
      </c>
      <c r="E120" s="2" t="s">
        <v>72</v>
      </c>
      <c r="F120" s="2" t="s">
        <v>76</v>
      </c>
      <c r="G120" s="2" t="s">
        <v>64</v>
      </c>
      <c r="H120" s="3">
        <v>42339</v>
      </c>
      <c r="I120" s="2">
        <v>10.7</v>
      </c>
      <c r="J120" s="2">
        <v>3</v>
      </c>
      <c r="K120" s="4">
        <v>171700</v>
      </c>
      <c r="L120" s="4">
        <v>133100</v>
      </c>
      <c r="M120" s="5">
        <f t="shared" si="6"/>
        <v>2193500</v>
      </c>
      <c r="N120" s="6">
        <f t="shared" si="7"/>
        <v>21.934999999999999</v>
      </c>
    </row>
    <row r="121" spans="1:14" x14ac:dyDescent="0.3">
      <c r="A121" s="2" t="s">
        <v>273</v>
      </c>
      <c r="B121" s="2" t="s">
        <v>274</v>
      </c>
      <c r="C121" s="2" t="s">
        <v>25</v>
      </c>
      <c r="D121" s="2">
        <v>24</v>
      </c>
      <c r="E121" s="2" t="s">
        <v>54</v>
      </c>
      <c r="F121" s="2" t="s">
        <v>73</v>
      </c>
      <c r="G121" s="2" t="s">
        <v>69</v>
      </c>
      <c r="H121" s="3">
        <v>46147</v>
      </c>
      <c r="I121" s="2">
        <v>0.5</v>
      </c>
      <c r="J121" s="2">
        <v>4</v>
      </c>
      <c r="K121" s="4">
        <v>34500</v>
      </c>
      <c r="L121" s="4">
        <v>32800</v>
      </c>
      <c r="M121" s="5">
        <f t="shared" si="6"/>
        <v>446800</v>
      </c>
      <c r="N121" s="6">
        <f t="shared" si="7"/>
        <v>4.468</v>
      </c>
    </row>
    <row r="122" spans="1:14" x14ac:dyDescent="0.3">
      <c r="A122" s="2" t="s">
        <v>275</v>
      </c>
      <c r="B122" s="2" t="s">
        <v>276</v>
      </c>
      <c r="C122" s="2" t="s">
        <v>16</v>
      </c>
      <c r="D122" s="2">
        <v>24</v>
      </c>
      <c r="E122" s="2" t="s">
        <v>41</v>
      </c>
      <c r="F122" s="2" t="s">
        <v>58</v>
      </c>
      <c r="G122" s="2" t="s">
        <v>51</v>
      </c>
      <c r="H122" s="3">
        <v>45885</v>
      </c>
      <c r="I122" s="2">
        <v>1.1000000000000001</v>
      </c>
      <c r="J122" s="2">
        <v>3</v>
      </c>
      <c r="K122" s="4">
        <v>44400</v>
      </c>
      <c r="L122" s="4">
        <v>34400</v>
      </c>
      <c r="M122" s="5">
        <f t="shared" si="6"/>
        <v>567200</v>
      </c>
      <c r="N122" s="6">
        <f t="shared" si="7"/>
        <v>5.6719999999999997</v>
      </c>
    </row>
    <row r="123" spans="1:14" x14ac:dyDescent="0.3">
      <c r="A123" s="2" t="s">
        <v>277</v>
      </c>
      <c r="B123" s="2" t="s">
        <v>278</v>
      </c>
      <c r="C123" s="2" t="s">
        <v>16</v>
      </c>
      <c r="D123" s="2">
        <v>22</v>
      </c>
      <c r="E123" s="2" t="s">
        <v>41</v>
      </c>
      <c r="F123" s="2" t="s">
        <v>73</v>
      </c>
      <c r="G123" s="2" t="s">
        <v>42</v>
      </c>
      <c r="H123" s="3">
        <v>46107</v>
      </c>
      <c r="I123" s="2">
        <v>0.5</v>
      </c>
      <c r="J123" s="2">
        <v>5</v>
      </c>
      <c r="K123" s="4">
        <v>32900</v>
      </c>
      <c r="L123" s="4">
        <v>37000</v>
      </c>
      <c r="M123" s="5">
        <f t="shared" si="6"/>
        <v>431800</v>
      </c>
      <c r="N123" s="6">
        <f t="shared" si="7"/>
        <v>4.3179999999999996</v>
      </c>
    </row>
    <row r="124" spans="1:14" x14ac:dyDescent="0.3">
      <c r="A124" s="2" t="s">
        <v>279</v>
      </c>
      <c r="B124" s="2" t="s">
        <v>280</v>
      </c>
      <c r="C124" s="2" t="s">
        <v>16</v>
      </c>
      <c r="D124" s="2">
        <v>38</v>
      </c>
      <c r="E124" s="2" t="s">
        <v>41</v>
      </c>
      <c r="F124" s="2" t="s">
        <v>174</v>
      </c>
      <c r="G124" s="2" t="s">
        <v>35</v>
      </c>
      <c r="H124" s="3">
        <v>41503</v>
      </c>
      <c r="I124" s="2">
        <v>13.1</v>
      </c>
      <c r="J124" s="2">
        <v>3</v>
      </c>
      <c r="K124" s="4">
        <v>287800</v>
      </c>
      <c r="L124" s="4">
        <v>223000</v>
      </c>
      <c r="M124" s="5">
        <f t="shared" si="6"/>
        <v>3676600</v>
      </c>
      <c r="N124" s="6">
        <f t="shared" si="7"/>
        <v>36.765999999999998</v>
      </c>
    </row>
    <row r="125" spans="1:14" x14ac:dyDescent="0.3">
      <c r="A125" s="2" t="s">
        <v>281</v>
      </c>
      <c r="B125" s="2" t="s">
        <v>282</v>
      </c>
      <c r="C125" s="2" t="s">
        <v>16</v>
      </c>
      <c r="D125" s="2">
        <v>35</v>
      </c>
      <c r="E125" s="2" t="s">
        <v>72</v>
      </c>
      <c r="F125" s="2" t="s">
        <v>26</v>
      </c>
      <c r="G125" s="2" t="s">
        <v>51</v>
      </c>
      <c r="H125" s="3">
        <v>42960</v>
      </c>
      <c r="I125" s="2">
        <v>9</v>
      </c>
      <c r="J125" s="2">
        <v>2</v>
      </c>
      <c r="K125" s="4">
        <v>99200</v>
      </c>
      <c r="L125" s="4">
        <v>59500</v>
      </c>
      <c r="M125" s="5">
        <f t="shared" si="6"/>
        <v>1249900</v>
      </c>
      <c r="N125" s="6">
        <f t="shared" si="7"/>
        <v>12.499000000000001</v>
      </c>
    </row>
    <row r="126" spans="1:14" x14ac:dyDescent="0.3">
      <c r="A126" s="2" t="s">
        <v>283</v>
      </c>
      <c r="B126" s="2" t="s">
        <v>284</v>
      </c>
      <c r="C126" s="2" t="s">
        <v>25</v>
      </c>
      <c r="D126" s="2">
        <v>33</v>
      </c>
      <c r="E126" s="2" t="s">
        <v>38</v>
      </c>
      <c r="F126" s="2" t="s">
        <v>76</v>
      </c>
      <c r="G126" s="2" t="s">
        <v>19</v>
      </c>
      <c r="H126" s="3">
        <v>42651</v>
      </c>
      <c r="I126" s="2">
        <v>10.1</v>
      </c>
      <c r="J126" s="2">
        <v>5</v>
      </c>
      <c r="K126" s="4">
        <v>158300</v>
      </c>
      <c r="L126" s="4">
        <v>178100</v>
      </c>
      <c r="M126" s="5">
        <f t="shared" si="6"/>
        <v>2077700</v>
      </c>
      <c r="N126" s="6">
        <f t="shared" si="7"/>
        <v>20.777000000000001</v>
      </c>
    </row>
    <row r="127" spans="1:14" x14ac:dyDescent="0.3">
      <c r="A127" s="2" t="s">
        <v>285</v>
      </c>
      <c r="B127" s="2" t="s">
        <v>286</v>
      </c>
      <c r="C127" s="2" t="s">
        <v>25</v>
      </c>
      <c r="D127" s="2">
        <v>30</v>
      </c>
      <c r="E127" s="2" t="s">
        <v>38</v>
      </c>
      <c r="F127" s="2" t="s">
        <v>76</v>
      </c>
      <c r="G127" s="2" t="s">
        <v>42</v>
      </c>
      <c r="H127" s="3">
        <v>42671</v>
      </c>
      <c r="I127" s="2">
        <v>9.9</v>
      </c>
      <c r="J127" s="2">
        <v>3</v>
      </c>
      <c r="K127" s="4">
        <v>181300</v>
      </c>
      <c r="L127" s="4">
        <v>140500</v>
      </c>
      <c r="M127" s="5">
        <f t="shared" si="6"/>
        <v>2316100</v>
      </c>
      <c r="N127" s="6">
        <f t="shared" si="7"/>
        <v>23.161000000000001</v>
      </c>
    </row>
    <row r="128" spans="1:14" x14ac:dyDescent="0.3">
      <c r="A128" s="2" t="s">
        <v>287</v>
      </c>
      <c r="B128" s="2" t="s">
        <v>288</v>
      </c>
      <c r="C128" s="2" t="s">
        <v>16</v>
      </c>
      <c r="D128" s="2">
        <v>29</v>
      </c>
      <c r="E128" s="2" t="s">
        <v>22</v>
      </c>
      <c r="F128" s="2" t="s">
        <v>34</v>
      </c>
      <c r="G128" s="2" t="s">
        <v>35</v>
      </c>
      <c r="H128" s="3">
        <v>44683</v>
      </c>
      <c r="I128" s="2">
        <v>4.5</v>
      </c>
      <c r="J128" s="2">
        <v>3</v>
      </c>
      <c r="K128" s="4">
        <v>52400</v>
      </c>
      <c r="L128" s="4">
        <v>40600</v>
      </c>
      <c r="M128" s="5">
        <f t="shared" si="6"/>
        <v>669400</v>
      </c>
      <c r="N128" s="6">
        <f t="shared" si="7"/>
        <v>6.694</v>
      </c>
    </row>
    <row r="129" spans="1:14" x14ac:dyDescent="0.3">
      <c r="A129" s="2" t="s">
        <v>289</v>
      </c>
      <c r="B129" s="2" t="s">
        <v>290</v>
      </c>
      <c r="C129" s="2" t="s">
        <v>25</v>
      </c>
      <c r="D129" s="2">
        <v>33</v>
      </c>
      <c r="E129" s="2" t="s">
        <v>22</v>
      </c>
      <c r="F129" s="2" t="s">
        <v>174</v>
      </c>
      <c r="G129" s="2" t="s">
        <v>42</v>
      </c>
      <c r="H129" s="3">
        <v>41745</v>
      </c>
      <c r="I129" s="2">
        <v>12.5</v>
      </c>
      <c r="J129" s="2">
        <v>3</v>
      </c>
      <c r="K129" s="4">
        <v>317000</v>
      </c>
      <c r="L129" s="4">
        <v>245700</v>
      </c>
      <c r="M129" s="5">
        <f t="shared" si="6"/>
        <v>4049700</v>
      </c>
      <c r="N129" s="6">
        <f t="shared" si="7"/>
        <v>40.497</v>
      </c>
    </row>
    <row r="130" spans="1:14" x14ac:dyDescent="0.3">
      <c r="A130" s="2" t="s">
        <v>291</v>
      </c>
      <c r="B130" s="2" t="s">
        <v>292</v>
      </c>
      <c r="C130" s="2" t="s">
        <v>16</v>
      </c>
      <c r="D130" s="2">
        <v>29</v>
      </c>
      <c r="E130" s="2" t="s">
        <v>47</v>
      </c>
      <c r="F130" s="2" t="s">
        <v>61</v>
      </c>
      <c r="G130" s="2" t="s">
        <v>51</v>
      </c>
      <c r="H130" s="3">
        <v>43807</v>
      </c>
      <c r="I130" s="2">
        <v>6.7</v>
      </c>
      <c r="J130" s="2">
        <v>5</v>
      </c>
      <c r="K130" s="4">
        <v>82500</v>
      </c>
      <c r="L130" s="4">
        <v>92800</v>
      </c>
      <c r="M130" s="5">
        <f t="shared" ref="M130:M161" si="8">K130*12+L130</f>
        <v>1082800</v>
      </c>
      <c r="N130" s="6">
        <f t="shared" ref="N130:N161" si="9">M130/100000</f>
        <v>10.827999999999999</v>
      </c>
    </row>
    <row r="131" spans="1:14" x14ac:dyDescent="0.3">
      <c r="A131" s="2" t="s">
        <v>293</v>
      </c>
      <c r="B131" s="2" t="s">
        <v>294</v>
      </c>
      <c r="C131" s="2" t="s">
        <v>25</v>
      </c>
      <c r="D131" s="2">
        <v>24</v>
      </c>
      <c r="E131" s="2" t="s">
        <v>72</v>
      </c>
      <c r="F131" s="2" t="s">
        <v>34</v>
      </c>
      <c r="G131" s="2" t="s">
        <v>51</v>
      </c>
      <c r="H131" s="3">
        <v>45749</v>
      </c>
      <c r="I131" s="2">
        <v>1.4</v>
      </c>
      <c r="J131" s="2">
        <v>3</v>
      </c>
      <c r="K131" s="4">
        <v>55000</v>
      </c>
      <c r="L131" s="4">
        <v>42600</v>
      </c>
      <c r="M131" s="5">
        <f t="shared" si="8"/>
        <v>702600</v>
      </c>
      <c r="N131" s="6">
        <f t="shared" si="9"/>
        <v>7.0259999999999998</v>
      </c>
    </row>
    <row r="132" spans="1:14" x14ac:dyDescent="0.3">
      <c r="A132" s="2" t="s">
        <v>295</v>
      </c>
      <c r="B132" s="2" t="s">
        <v>296</v>
      </c>
      <c r="C132" s="2" t="s">
        <v>16</v>
      </c>
      <c r="D132" s="2">
        <v>25</v>
      </c>
      <c r="E132" s="2" t="s">
        <v>47</v>
      </c>
      <c r="F132" s="2" t="s">
        <v>73</v>
      </c>
      <c r="G132" s="2" t="s">
        <v>42</v>
      </c>
      <c r="H132" s="3">
        <v>44286</v>
      </c>
      <c r="I132" s="2">
        <v>5.4</v>
      </c>
      <c r="J132" s="2">
        <v>4</v>
      </c>
      <c r="K132" s="4">
        <v>33500</v>
      </c>
      <c r="L132" s="4">
        <v>31800</v>
      </c>
      <c r="M132" s="5">
        <f t="shared" si="8"/>
        <v>433800</v>
      </c>
      <c r="N132" s="6">
        <f t="shared" si="9"/>
        <v>4.3380000000000001</v>
      </c>
    </row>
    <row r="133" spans="1:14" x14ac:dyDescent="0.3">
      <c r="A133" s="2" t="s">
        <v>297</v>
      </c>
      <c r="B133" s="2" t="s">
        <v>298</v>
      </c>
      <c r="C133" s="2" t="s">
        <v>25</v>
      </c>
      <c r="D133" s="2">
        <v>32</v>
      </c>
      <c r="E133" s="2" t="s">
        <v>47</v>
      </c>
      <c r="F133" s="2" t="s">
        <v>61</v>
      </c>
      <c r="G133" s="2" t="s">
        <v>69</v>
      </c>
      <c r="H133" s="3">
        <v>43468</v>
      </c>
      <c r="I133" s="2">
        <v>7.8</v>
      </c>
      <c r="J133" s="2">
        <v>3</v>
      </c>
      <c r="K133" s="4">
        <v>79600</v>
      </c>
      <c r="L133" s="4">
        <v>61700</v>
      </c>
      <c r="M133" s="5">
        <f t="shared" si="8"/>
        <v>1016900</v>
      </c>
      <c r="N133" s="6">
        <f t="shared" si="9"/>
        <v>10.169</v>
      </c>
    </row>
    <row r="134" spans="1:14" x14ac:dyDescent="0.3">
      <c r="A134" s="2" t="s">
        <v>299</v>
      </c>
      <c r="B134" s="2" t="s">
        <v>300</v>
      </c>
      <c r="C134" s="2" t="s">
        <v>16</v>
      </c>
      <c r="D134" s="2">
        <v>26</v>
      </c>
      <c r="E134" s="2" t="s">
        <v>72</v>
      </c>
      <c r="F134" s="2" t="s">
        <v>73</v>
      </c>
      <c r="G134" s="2" t="s">
        <v>69</v>
      </c>
      <c r="H134" s="3">
        <v>45590</v>
      </c>
      <c r="I134" s="2">
        <v>1.9</v>
      </c>
      <c r="J134" s="2">
        <v>5</v>
      </c>
      <c r="K134" s="4">
        <v>40600</v>
      </c>
      <c r="L134" s="4">
        <v>45700</v>
      </c>
      <c r="M134" s="5">
        <f t="shared" si="8"/>
        <v>532900</v>
      </c>
      <c r="N134" s="6">
        <f t="shared" si="9"/>
        <v>5.3289999999999997</v>
      </c>
    </row>
    <row r="135" spans="1:14" x14ac:dyDescent="0.3">
      <c r="A135" s="2" t="s">
        <v>301</v>
      </c>
      <c r="B135" s="2" t="s">
        <v>302</v>
      </c>
      <c r="C135" s="2" t="s">
        <v>16</v>
      </c>
      <c r="D135" s="2">
        <v>35</v>
      </c>
      <c r="E135" s="2" t="s">
        <v>38</v>
      </c>
      <c r="F135" s="2" t="s">
        <v>76</v>
      </c>
      <c r="G135" s="2" t="s">
        <v>35</v>
      </c>
      <c r="H135" s="3">
        <v>42394</v>
      </c>
      <c r="I135" s="2">
        <v>10.6</v>
      </c>
      <c r="J135" s="2">
        <v>2</v>
      </c>
      <c r="K135" s="4">
        <v>188300</v>
      </c>
      <c r="L135" s="4">
        <v>113000</v>
      </c>
      <c r="M135" s="5">
        <f t="shared" si="8"/>
        <v>2372600</v>
      </c>
      <c r="N135" s="6">
        <f t="shared" si="9"/>
        <v>23.725999999999999</v>
      </c>
    </row>
    <row r="136" spans="1:14" x14ac:dyDescent="0.3">
      <c r="A136" s="2" t="s">
        <v>303</v>
      </c>
      <c r="B136" s="2" t="s">
        <v>304</v>
      </c>
      <c r="C136" s="2" t="s">
        <v>25</v>
      </c>
      <c r="D136" s="2">
        <v>25</v>
      </c>
      <c r="E136" s="2" t="s">
        <v>41</v>
      </c>
      <c r="F136" s="2" t="s">
        <v>73</v>
      </c>
      <c r="G136" s="2" t="s">
        <v>35</v>
      </c>
      <c r="H136" s="3">
        <v>45571</v>
      </c>
      <c r="I136" s="2">
        <v>1.8</v>
      </c>
      <c r="J136" s="2">
        <v>3</v>
      </c>
      <c r="K136" s="4">
        <v>33300</v>
      </c>
      <c r="L136" s="4">
        <v>25800</v>
      </c>
      <c r="M136" s="5">
        <f t="shared" si="8"/>
        <v>425400</v>
      </c>
      <c r="N136" s="6">
        <f t="shared" si="9"/>
        <v>4.2539999999999996</v>
      </c>
    </row>
    <row r="137" spans="1:14" x14ac:dyDescent="0.3">
      <c r="A137" s="2" t="s">
        <v>305</v>
      </c>
      <c r="B137" s="2" t="s">
        <v>306</v>
      </c>
      <c r="C137" s="2" t="s">
        <v>16</v>
      </c>
      <c r="D137" s="2">
        <v>26</v>
      </c>
      <c r="E137" s="2" t="s">
        <v>17</v>
      </c>
      <c r="F137" s="2" t="s">
        <v>34</v>
      </c>
      <c r="G137" s="2" t="s">
        <v>69</v>
      </c>
      <c r="H137" s="3">
        <v>45562</v>
      </c>
      <c r="I137" s="2">
        <v>1.8</v>
      </c>
      <c r="J137" s="2">
        <v>2</v>
      </c>
      <c r="K137" s="4">
        <v>58300</v>
      </c>
      <c r="L137" s="4">
        <v>35000</v>
      </c>
      <c r="M137" s="5">
        <f t="shared" si="8"/>
        <v>734600</v>
      </c>
      <c r="N137" s="6">
        <f t="shared" si="9"/>
        <v>7.3460000000000001</v>
      </c>
    </row>
    <row r="138" spans="1:14" x14ac:dyDescent="0.3">
      <c r="A138" s="2" t="s">
        <v>307</v>
      </c>
      <c r="B138" s="2" t="s">
        <v>308</v>
      </c>
      <c r="C138" s="2" t="s">
        <v>25</v>
      </c>
      <c r="D138" s="2">
        <v>26</v>
      </c>
      <c r="E138" s="2" t="s">
        <v>38</v>
      </c>
      <c r="F138" s="2" t="s">
        <v>61</v>
      </c>
      <c r="G138" s="2" t="s">
        <v>69</v>
      </c>
      <c r="H138" s="3">
        <v>44305</v>
      </c>
      <c r="I138" s="2">
        <v>5.5</v>
      </c>
      <c r="J138" s="2">
        <v>3</v>
      </c>
      <c r="K138" s="4">
        <v>89100</v>
      </c>
      <c r="L138" s="4">
        <v>69100</v>
      </c>
      <c r="M138" s="5">
        <f t="shared" si="8"/>
        <v>1138300</v>
      </c>
      <c r="N138" s="6">
        <f t="shared" si="9"/>
        <v>11.382999999999999</v>
      </c>
    </row>
    <row r="139" spans="1:14" x14ac:dyDescent="0.3">
      <c r="A139" s="2" t="s">
        <v>309</v>
      </c>
      <c r="B139" s="2" t="s">
        <v>310</v>
      </c>
      <c r="C139" s="2" t="s">
        <v>25</v>
      </c>
      <c r="D139" s="2">
        <v>42</v>
      </c>
      <c r="E139" s="2" t="s">
        <v>72</v>
      </c>
      <c r="F139" s="2" t="s">
        <v>48</v>
      </c>
      <c r="G139" s="2" t="s">
        <v>35</v>
      </c>
      <c r="H139" s="3">
        <v>40144</v>
      </c>
      <c r="I139" s="2">
        <v>16.7</v>
      </c>
      <c r="J139" s="2">
        <v>2</v>
      </c>
      <c r="K139" s="4">
        <v>533500</v>
      </c>
      <c r="L139" s="4">
        <v>320100</v>
      </c>
      <c r="M139" s="5">
        <f t="shared" si="8"/>
        <v>6722100</v>
      </c>
      <c r="N139" s="6">
        <f t="shared" si="9"/>
        <v>67.221000000000004</v>
      </c>
    </row>
    <row r="140" spans="1:14" x14ac:dyDescent="0.3">
      <c r="A140" s="2" t="s">
        <v>311</v>
      </c>
      <c r="B140" s="2" t="s">
        <v>312</v>
      </c>
      <c r="C140" s="2" t="s">
        <v>16</v>
      </c>
      <c r="D140" s="2">
        <v>38</v>
      </c>
      <c r="E140" s="2" t="s">
        <v>38</v>
      </c>
      <c r="F140" s="2" t="s">
        <v>76</v>
      </c>
      <c r="G140" s="2" t="s">
        <v>64</v>
      </c>
      <c r="H140" s="3">
        <v>41588</v>
      </c>
      <c r="I140" s="2">
        <v>12.8</v>
      </c>
      <c r="J140" s="2">
        <v>4</v>
      </c>
      <c r="K140" s="4">
        <v>157800</v>
      </c>
      <c r="L140" s="4">
        <v>149900</v>
      </c>
      <c r="M140" s="5">
        <f t="shared" si="8"/>
        <v>2043500</v>
      </c>
      <c r="N140" s="6">
        <f t="shared" si="9"/>
        <v>20.434999999999999</v>
      </c>
    </row>
    <row r="141" spans="1:14" x14ac:dyDescent="0.3">
      <c r="A141" s="2" t="s">
        <v>313</v>
      </c>
      <c r="B141" s="2" t="s">
        <v>314</v>
      </c>
      <c r="C141" s="2" t="s">
        <v>25</v>
      </c>
      <c r="D141" s="2">
        <v>29</v>
      </c>
      <c r="E141" s="2" t="s">
        <v>47</v>
      </c>
      <c r="F141" s="2" t="s">
        <v>18</v>
      </c>
      <c r="G141" s="2" t="s">
        <v>69</v>
      </c>
      <c r="H141" s="3">
        <v>43579</v>
      </c>
      <c r="I141" s="2">
        <v>7.3</v>
      </c>
      <c r="J141" s="2">
        <v>4</v>
      </c>
      <c r="K141" s="4">
        <v>60700</v>
      </c>
      <c r="L141" s="4">
        <v>57700</v>
      </c>
      <c r="M141" s="5">
        <f t="shared" si="8"/>
        <v>786100</v>
      </c>
      <c r="N141" s="6">
        <f t="shared" si="9"/>
        <v>7.8609999999999998</v>
      </c>
    </row>
    <row r="142" spans="1:14" x14ac:dyDescent="0.3">
      <c r="A142" s="2" t="s">
        <v>315</v>
      </c>
      <c r="B142" s="2" t="s">
        <v>316</v>
      </c>
      <c r="C142" s="2" t="s">
        <v>16</v>
      </c>
      <c r="D142" s="2">
        <v>26</v>
      </c>
      <c r="E142" s="2" t="s">
        <v>22</v>
      </c>
      <c r="F142" s="2" t="s">
        <v>34</v>
      </c>
      <c r="G142" s="2" t="s">
        <v>35</v>
      </c>
      <c r="H142" s="3">
        <v>45039</v>
      </c>
      <c r="I142" s="2">
        <v>3.4</v>
      </c>
      <c r="J142" s="2">
        <v>4</v>
      </c>
      <c r="K142" s="4">
        <v>58500</v>
      </c>
      <c r="L142" s="4">
        <v>55600</v>
      </c>
      <c r="M142" s="5">
        <f t="shared" si="8"/>
        <v>757600</v>
      </c>
      <c r="N142" s="6">
        <f t="shared" si="9"/>
        <v>7.5759999999999996</v>
      </c>
    </row>
    <row r="143" spans="1:14" x14ac:dyDescent="0.3">
      <c r="A143" s="2" t="s">
        <v>317</v>
      </c>
      <c r="B143" s="2" t="s">
        <v>318</v>
      </c>
      <c r="C143" s="2" t="s">
        <v>25</v>
      </c>
      <c r="D143" s="2">
        <v>25</v>
      </c>
      <c r="E143" s="2" t="s">
        <v>41</v>
      </c>
      <c r="F143" s="2" t="s">
        <v>58</v>
      </c>
      <c r="G143" s="2" t="s">
        <v>42</v>
      </c>
      <c r="H143" s="3">
        <v>46096</v>
      </c>
      <c r="I143" s="2">
        <v>0.5</v>
      </c>
      <c r="J143" s="2">
        <v>4</v>
      </c>
      <c r="K143" s="4">
        <v>41100</v>
      </c>
      <c r="L143" s="4">
        <v>39000</v>
      </c>
      <c r="M143" s="5">
        <f t="shared" si="8"/>
        <v>532200</v>
      </c>
      <c r="N143" s="6">
        <f t="shared" si="9"/>
        <v>5.3220000000000001</v>
      </c>
    </row>
    <row r="144" spans="1:14" x14ac:dyDescent="0.3">
      <c r="A144" s="2" t="s">
        <v>319</v>
      </c>
      <c r="B144" s="2" t="s">
        <v>320</v>
      </c>
      <c r="C144" s="2" t="s">
        <v>16</v>
      </c>
      <c r="D144" s="2">
        <v>30</v>
      </c>
      <c r="E144" s="2" t="s">
        <v>41</v>
      </c>
      <c r="F144" s="2" t="s">
        <v>61</v>
      </c>
      <c r="G144" s="2" t="s">
        <v>42</v>
      </c>
      <c r="H144" s="3">
        <v>43876</v>
      </c>
      <c r="I144" s="2">
        <v>6.7</v>
      </c>
      <c r="J144" s="2">
        <v>4</v>
      </c>
      <c r="K144" s="4">
        <v>67000</v>
      </c>
      <c r="L144" s="4">
        <v>63600</v>
      </c>
      <c r="M144" s="5">
        <f t="shared" si="8"/>
        <v>867600</v>
      </c>
      <c r="N144" s="6">
        <f t="shared" si="9"/>
        <v>8.6760000000000002</v>
      </c>
    </row>
    <row r="145" spans="1:14" x14ac:dyDescent="0.3">
      <c r="A145" s="2" t="s">
        <v>321</v>
      </c>
      <c r="B145" s="2" t="s">
        <v>144</v>
      </c>
      <c r="C145" s="2" t="s">
        <v>16</v>
      </c>
      <c r="D145" s="2">
        <v>32</v>
      </c>
      <c r="E145" s="2" t="s">
        <v>38</v>
      </c>
      <c r="F145" s="2" t="s">
        <v>76</v>
      </c>
      <c r="G145" s="2" t="s">
        <v>42</v>
      </c>
      <c r="H145" s="3">
        <v>42771</v>
      </c>
      <c r="I145" s="2">
        <v>9.6</v>
      </c>
      <c r="J145" s="2">
        <v>3</v>
      </c>
      <c r="K145" s="4">
        <v>172300</v>
      </c>
      <c r="L145" s="4">
        <v>133500</v>
      </c>
      <c r="M145" s="5">
        <f t="shared" si="8"/>
        <v>2201100</v>
      </c>
      <c r="N145" s="6">
        <f t="shared" si="9"/>
        <v>22.010999999999999</v>
      </c>
    </row>
    <row r="146" spans="1:14" x14ac:dyDescent="0.3">
      <c r="A146" s="2" t="s">
        <v>322</v>
      </c>
      <c r="B146" s="2" t="s">
        <v>323</v>
      </c>
      <c r="C146" s="2" t="s">
        <v>16</v>
      </c>
      <c r="D146" s="2">
        <v>29</v>
      </c>
      <c r="E146" s="2" t="s">
        <v>54</v>
      </c>
      <c r="F146" s="2" t="s">
        <v>58</v>
      </c>
      <c r="G146" s="2" t="s">
        <v>64</v>
      </c>
      <c r="H146" s="3">
        <v>45111</v>
      </c>
      <c r="I146" s="2">
        <v>3.2</v>
      </c>
      <c r="J146" s="2">
        <v>4</v>
      </c>
      <c r="K146" s="4">
        <v>34300</v>
      </c>
      <c r="L146" s="4">
        <v>32600</v>
      </c>
      <c r="M146" s="5">
        <f t="shared" si="8"/>
        <v>444200</v>
      </c>
      <c r="N146" s="6">
        <f t="shared" si="9"/>
        <v>4.4420000000000002</v>
      </c>
    </row>
    <row r="147" spans="1:14" x14ac:dyDescent="0.3">
      <c r="A147" s="2" t="s">
        <v>324</v>
      </c>
      <c r="B147" s="2" t="s">
        <v>325</v>
      </c>
      <c r="C147" s="2" t="s">
        <v>25</v>
      </c>
      <c r="D147" s="2">
        <v>24</v>
      </c>
      <c r="E147" s="2" t="s">
        <v>29</v>
      </c>
      <c r="F147" s="2" t="s">
        <v>58</v>
      </c>
      <c r="G147" s="2" t="s">
        <v>35</v>
      </c>
      <c r="H147" s="3">
        <v>45029</v>
      </c>
      <c r="I147" s="2">
        <v>3.3</v>
      </c>
      <c r="J147" s="2">
        <v>2</v>
      </c>
      <c r="K147" s="4">
        <v>43900</v>
      </c>
      <c r="L147" s="4">
        <v>26300</v>
      </c>
      <c r="M147" s="5">
        <f t="shared" si="8"/>
        <v>553100</v>
      </c>
      <c r="N147" s="6">
        <f t="shared" si="9"/>
        <v>5.5309999999999997</v>
      </c>
    </row>
    <row r="148" spans="1:14" x14ac:dyDescent="0.3">
      <c r="A148" s="2" t="s">
        <v>326</v>
      </c>
      <c r="B148" s="2" t="s">
        <v>327</v>
      </c>
      <c r="C148" s="2" t="s">
        <v>25</v>
      </c>
      <c r="D148" s="2">
        <v>28</v>
      </c>
      <c r="E148" s="2" t="s">
        <v>72</v>
      </c>
      <c r="F148" s="2" t="s">
        <v>34</v>
      </c>
      <c r="G148" s="2" t="s">
        <v>42</v>
      </c>
      <c r="H148" s="3">
        <v>44603</v>
      </c>
      <c r="I148" s="2">
        <v>4.5999999999999996</v>
      </c>
      <c r="J148" s="2">
        <v>2</v>
      </c>
      <c r="K148" s="4">
        <v>62400</v>
      </c>
      <c r="L148" s="4">
        <v>37400</v>
      </c>
      <c r="M148" s="5">
        <f t="shared" si="8"/>
        <v>786200</v>
      </c>
      <c r="N148" s="6">
        <f t="shared" si="9"/>
        <v>7.8620000000000001</v>
      </c>
    </row>
    <row r="149" spans="1:14" x14ac:dyDescent="0.3">
      <c r="A149" s="2" t="s">
        <v>328</v>
      </c>
      <c r="B149" s="2" t="s">
        <v>329</v>
      </c>
      <c r="C149" s="2" t="s">
        <v>16</v>
      </c>
      <c r="D149" s="2">
        <v>29</v>
      </c>
      <c r="E149" s="2" t="s">
        <v>41</v>
      </c>
      <c r="F149" s="2" t="s">
        <v>61</v>
      </c>
      <c r="G149" s="2" t="s">
        <v>51</v>
      </c>
      <c r="H149" s="3">
        <v>42904</v>
      </c>
      <c r="I149" s="2">
        <v>9.1999999999999993</v>
      </c>
      <c r="J149" s="2">
        <v>3</v>
      </c>
      <c r="K149" s="4">
        <v>82700</v>
      </c>
      <c r="L149" s="4">
        <v>64100</v>
      </c>
      <c r="M149" s="5">
        <f t="shared" si="8"/>
        <v>1056500</v>
      </c>
      <c r="N149" s="6">
        <f t="shared" si="9"/>
        <v>10.565</v>
      </c>
    </row>
    <row r="150" spans="1:14" x14ac:dyDescent="0.3">
      <c r="A150" s="2" t="s">
        <v>330</v>
      </c>
      <c r="B150" s="2" t="s">
        <v>331</v>
      </c>
      <c r="C150" s="2" t="s">
        <v>25</v>
      </c>
      <c r="D150" s="2">
        <v>27</v>
      </c>
      <c r="E150" s="2" t="s">
        <v>72</v>
      </c>
      <c r="F150" s="2" t="s">
        <v>55</v>
      </c>
      <c r="G150" s="2" t="s">
        <v>69</v>
      </c>
      <c r="H150" s="3">
        <v>44955</v>
      </c>
      <c r="I150" s="2">
        <v>3.6</v>
      </c>
      <c r="J150" s="2">
        <v>1</v>
      </c>
      <c r="K150" s="4">
        <v>79400</v>
      </c>
      <c r="L150" s="4">
        <v>33700</v>
      </c>
      <c r="M150" s="5">
        <f t="shared" si="8"/>
        <v>986500</v>
      </c>
      <c r="N150" s="6">
        <f t="shared" si="9"/>
        <v>9.8650000000000002</v>
      </c>
    </row>
    <row r="151" spans="1:14" x14ac:dyDescent="0.3">
      <c r="A151" s="2" t="s">
        <v>332</v>
      </c>
      <c r="B151" s="2" t="s">
        <v>333</v>
      </c>
      <c r="C151" s="2" t="s">
        <v>16</v>
      </c>
      <c r="D151" s="2">
        <v>40</v>
      </c>
      <c r="E151" s="2" t="s">
        <v>29</v>
      </c>
      <c r="F151" s="2" t="s">
        <v>48</v>
      </c>
      <c r="G151" s="2" t="s">
        <v>35</v>
      </c>
      <c r="H151" s="3">
        <v>41039</v>
      </c>
      <c r="I151" s="2">
        <v>14.5</v>
      </c>
      <c r="J151" s="2">
        <v>3</v>
      </c>
      <c r="K151" s="4">
        <v>584100</v>
      </c>
      <c r="L151" s="4">
        <v>452700</v>
      </c>
      <c r="M151" s="5">
        <f t="shared" si="8"/>
        <v>7461900</v>
      </c>
      <c r="N151" s="6">
        <f t="shared" si="9"/>
        <v>74.619</v>
      </c>
    </row>
    <row r="152" spans="1:14" x14ac:dyDescent="0.3">
      <c r="A152" s="2" t="s">
        <v>334</v>
      </c>
      <c r="B152" s="2" t="s">
        <v>335</v>
      </c>
      <c r="C152" s="2" t="s">
        <v>16</v>
      </c>
      <c r="D152" s="2">
        <v>32</v>
      </c>
      <c r="E152" s="2" t="s">
        <v>17</v>
      </c>
      <c r="F152" s="2" t="s">
        <v>26</v>
      </c>
      <c r="G152" s="2" t="s">
        <v>42</v>
      </c>
      <c r="H152" s="3">
        <v>43470</v>
      </c>
      <c r="I152" s="2">
        <v>7.8</v>
      </c>
      <c r="J152" s="2">
        <v>4</v>
      </c>
      <c r="K152" s="4">
        <v>128400</v>
      </c>
      <c r="L152" s="4">
        <v>122000</v>
      </c>
      <c r="M152" s="5">
        <f t="shared" si="8"/>
        <v>1662800</v>
      </c>
      <c r="N152" s="6">
        <f t="shared" si="9"/>
        <v>16.628</v>
      </c>
    </row>
    <row r="153" spans="1:14" x14ac:dyDescent="0.3">
      <c r="A153" s="2" t="s">
        <v>336</v>
      </c>
      <c r="B153" s="2" t="s">
        <v>337</v>
      </c>
      <c r="C153" s="2" t="s">
        <v>25</v>
      </c>
      <c r="D153" s="2">
        <v>32</v>
      </c>
      <c r="E153" s="2" t="s">
        <v>47</v>
      </c>
      <c r="F153" s="2" t="s">
        <v>26</v>
      </c>
      <c r="G153" s="2" t="s">
        <v>42</v>
      </c>
      <c r="H153" s="3">
        <v>42628</v>
      </c>
      <c r="I153" s="2">
        <v>10.1</v>
      </c>
      <c r="J153" s="2">
        <v>2</v>
      </c>
      <c r="K153" s="4">
        <v>111100</v>
      </c>
      <c r="L153" s="4">
        <v>66700</v>
      </c>
      <c r="M153" s="5">
        <f t="shared" si="8"/>
        <v>1399900</v>
      </c>
      <c r="N153" s="6">
        <f t="shared" si="9"/>
        <v>13.999000000000001</v>
      </c>
    </row>
    <row r="154" spans="1:14" x14ac:dyDescent="0.3">
      <c r="A154" s="2" t="s">
        <v>338</v>
      </c>
      <c r="B154" s="2" t="s">
        <v>339</v>
      </c>
      <c r="C154" s="2" t="s">
        <v>16</v>
      </c>
      <c r="D154" s="2">
        <v>28</v>
      </c>
      <c r="E154" s="2" t="s">
        <v>47</v>
      </c>
      <c r="F154" s="2" t="s">
        <v>34</v>
      </c>
      <c r="G154" s="2" t="s">
        <v>35</v>
      </c>
      <c r="H154" s="3">
        <v>43776</v>
      </c>
      <c r="I154" s="2">
        <v>6.9</v>
      </c>
      <c r="J154" s="2">
        <v>4</v>
      </c>
      <c r="K154" s="4">
        <v>47600</v>
      </c>
      <c r="L154" s="4">
        <v>45200</v>
      </c>
      <c r="M154" s="5">
        <f t="shared" si="8"/>
        <v>616400</v>
      </c>
      <c r="N154" s="6">
        <f t="shared" si="9"/>
        <v>6.1639999999999997</v>
      </c>
    </row>
    <row r="155" spans="1:14" x14ac:dyDescent="0.3">
      <c r="A155" s="2" t="s">
        <v>340</v>
      </c>
      <c r="B155" s="2" t="s">
        <v>341</v>
      </c>
      <c r="C155" s="2" t="s">
        <v>25</v>
      </c>
      <c r="D155" s="2">
        <v>32</v>
      </c>
      <c r="E155" s="2" t="s">
        <v>38</v>
      </c>
      <c r="F155" s="2" t="s">
        <v>26</v>
      </c>
      <c r="G155" s="2" t="s">
        <v>19</v>
      </c>
      <c r="H155" s="3">
        <v>42794</v>
      </c>
      <c r="I155" s="2">
        <v>9.4</v>
      </c>
      <c r="J155" s="2">
        <v>5</v>
      </c>
      <c r="K155" s="4">
        <v>120200</v>
      </c>
      <c r="L155" s="4">
        <v>135200</v>
      </c>
      <c r="M155" s="5">
        <f t="shared" si="8"/>
        <v>1577600</v>
      </c>
      <c r="N155" s="6">
        <f t="shared" si="9"/>
        <v>15.776</v>
      </c>
    </row>
    <row r="156" spans="1:14" x14ac:dyDescent="0.3">
      <c r="A156" s="2" t="s">
        <v>342</v>
      </c>
      <c r="B156" s="2" t="s">
        <v>343</v>
      </c>
      <c r="C156" s="2" t="s">
        <v>16</v>
      </c>
      <c r="D156" s="2">
        <v>30</v>
      </c>
      <c r="E156" s="2" t="s">
        <v>72</v>
      </c>
      <c r="F156" s="2" t="s">
        <v>55</v>
      </c>
      <c r="G156" s="2" t="s">
        <v>19</v>
      </c>
      <c r="H156" s="3">
        <v>44528</v>
      </c>
      <c r="I156" s="2">
        <v>4.9000000000000004</v>
      </c>
      <c r="J156" s="2">
        <v>3</v>
      </c>
      <c r="K156" s="4">
        <v>74500</v>
      </c>
      <c r="L156" s="4">
        <v>57700</v>
      </c>
      <c r="M156" s="5">
        <f t="shared" si="8"/>
        <v>951700</v>
      </c>
      <c r="N156" s="6">
        <f t="shared" si="9"/>
        <v>9.5169999999999995</v>
      </c>
    </row>
    <row r="157" spans="1:14" x14ac:dyDescent="0.3">
      <c r="A157" s="2" t="s">
        <v>344</v>
      </c>
      <c r="B157" s="2" t="s">
        <v>345</v>
      </c>
      <c r="C157" s="2" t="s">
        <v>16</v>
      </c>
      <c r="D157" s="2">
        <v>32</v>
      </c>
      <c r="E157" s="2" t="s">
        <v>47</v>
      </c>
      <c r="F157" s="2" t="s">
        <v>55</v>
      </c>
      <c r="G157" s="2" t="s">
        <v>69</v>
      </c>
      <c r="H157" s="3">
        <v>43548</v>
      </c>
      <c r="I157" s="2">
        <v>7.5</v>
      </c>
      <c r="J157" s="2">
        <v>3</v>
      </c>
      <c r="K157" s="4">
        <v>78500</v>
      </c>
      <c r="L157" s="4">
        <v>60800</v>
      </c>
      <c r="M157" s="5">
        <f t="shared" si="8"/>
        <v>1002800</v>
      </c>
      <c r="N157" s="6">
        <f t="shared" si="9"/>
        <v>10.028</v>
      </c>
    </row>
    <row r="158" spans="1:14" x14ac:dyDescent="0.3">
      <c r="A158" s="2" t="s">
        <v>346</v>
      </c>
      <c r="B158" s="2" t="s">
        <v>347</v>
      </c>
      <c r="C158" s="2" t="s">
        <v>25</v>
      </c>
      <c r="D158" s="2">
        <v>26</v>
      </c>
      <c r="E158" s="2" t="s">
        <v>38</v>
      </c>
      <c r="F158" s="2" t="s">
        <v>26</v>
      </c>
      <c r="G158" s="2" t="s">
        <v>35</v>
      </c>
      <c r="H158" s="3">
        <v>43848</v>
      </c>
      <c r="I158" s="2">
        <v>6.8</v>
      </c>
      <c r="J158" s="2">
        <v>4</v>
      </c>
      <c r="K158" s="4">
        <v>124600</v>
      </c>
      <c r="L158" s="4">
        <v>118400</v>
      </c>
      <c r="M158" s="5">
        <f t="shared" si="8"/>
        <v>1613600</v>
      </c>
      <c r="N158" s="6">
        <f t="shared" si="9"/>
        <v>16.135999999999999</v>
      </c>
    </row>
    <row r="159" spans="1:14" x14ac:dyDescent="0.3">
      <c r="A159" s="2" t="s">
        <v>348</v>
      </c>
      <c r="B159" s="2" t="s">
        <v>349</v>
      </c>
      <c r="C159" s="2" t="s">
        <v>25</v>
      </c>
      <c r="D159" s="2">
        <v>32</v>
      </c>
      <c r="E159" s="2" t="s">
        <v>29</v>
      </c>
      <c r="F159" s="2" t="s">
        <v>26</v>
      </c>
      <c r="G159" s="2" t="s">
        <v>64</v>
      </c>
      <c r="H159" s="3">
        <v>43926</v>
      </c>
      <c r="I159" s="2">
        <v>6.4</v>
      </c>
      <c r="J159" s="2">
        <v>4</v>
      </c>
      <c r="K159" s="4">
        <v>126700</v>
      </c>
      <c r="L159" s="4">
        <v>120400</v>
      </c>
      <c r="M159" s="5">
        <f t="shared" si="8"/>
        <v>1640800</v>
      </c>
      <c r="N159" s="6">
        <f t="shared" si="9"/>
        <v>16.408000000000001</v>
      </c>
    </row>
    <row r="160" spans="1:14" x14ac:dyDescent="0.3">
      <c r="A160" s="2" t="s">
        <v>350</v>
      </c>
      <c r="B160" s="2" t="s">
        <v>351</v>
      </c>
      <c r="C160" s="2" t="s">
        <v>16</v>
      </c>
      <c r="D160" s="2">
        <v>25</v>
      </c>
      <c r="E160" s="2" t="s">
        <v>54</v>
      </c>
      <c r="F160" s="2" t="s">
        <v>34</v>
      </c>
      <c r="G160" s="2" t="s">
        <v>51</v>
      </c>
      <c r="H160" s="3">
        <v>44501</v>
      </c>
      <c r="I160" s="2">
        <v>4.8</v>
      </c>
      <c r="J160" s="2">
        <v>3</v>
      </c>
      <c r="K160" s="4">
        <v>58200</v>
      </c>
      <c r="L160" s="4">
        <v>45100</v>
      </c>
      <c r="M160" s="5">
        <f t="shared" si="8"/>
        <v>743500</v>
      </c>
      <c r="N160" s="6">
        <f t="shared" si="9"/>
        <v>7.4349999999999996</v>
      </c>
    </row>
    <row r="161" spans="1:14" x14ac:dyDescent="0.3">
      <c r="A161" s="2" t="s">
        <v>352</v>
      </c>
      <c r="B161" s="2" t="s">
        <v>353</v>
      </c>
      <c r="C161" s="2" t="s">
        <v>25</v>
      </c>
      <c r="D161" s="2">
        <v>24</v>
      </c>
      <c r="E161" s="2" t="s">
        <v>54</v>
      </c>
      <c r="F161" s="2" t="s">
        <v>58</v>
      </c>
      <c r="G161" s="2" t="s">
        <v>51</v>
      </c>
      <c r="H161" s="3">
        <v>45490</v>
      </c>
      <c r="I161" s="2">
        <v>2.1</v>
      </c>
      <c r="J161" s="2">
        <v>3</v>
      </c>
      <c r="K161" s="4">
        <v>33900</v>
      </c>
      <c r="L161" s="4">
        <v>26300</v>
      </c>
      <c r="M161" s="5">
        <f t="shared" si="8"/>
        <v>433100</v>
      </c>
      <c r="N161" s="6">
        <f t="shared" si="9"/>
        <v>4.3310000000000004</v>
      </c>
    </row>
    <row r="162" spans="1:14" x14ac:dyDescent="0.3">
      <c r="A162" s="2" t="s">
        <v>354</v>
      </c>
      <c r="B162" s="2" t="s">
        <v>355</v>
      </c>
      <c r="C162" s="2" t="s">
        <v>16</v>
      </c>
      <c r="D162" s="2">
        <v>28</v>
      </c>
      <c r="E162" s="2" t="s">
        <v>72</v>
      </c>
      <c r="F162" s="2" t="s">
        <v>55</v>
      </c>
      <c r="G162" s="2" t="s">
        <v>35</v>
      </c>
      <c r="H162" s="3">
        <v>43706</v>
      </c>
      <c r="I162" s="2">
        <v>7</v>
      </c>
      <c r="J162" s="2">
        <v>3</v>
      </c>
      <c r="K162" s="4">
        <v>80100</v>
      </c>
      <c r="L162" s="4">
        <v>62100</v>
      </c>
      <c r="M162" s="5">
        <f t="shared" ref="M162:M193" si="10">K162*12+L162</f>
        <v>1023300</v>
      </c>
      <c r="N162" s="6">
        <f t="shared" ref="N162:N193" si="11">M162/100000</f>
        <v>10.233000000000001</v>
      </c>
    </row>
    <row r="163" spans="1:14" x14ac:dyDescent="0.3">
      <c r="A163" s="2" t="s">
        <v>356</v>
      </c>
      <c r="B163" s="2" t="s">
        <v>357</v>
      </c>
      <c r="C163" s="2" t="s">
        <v>16</v>
      </c>
      <c r="D163" s="2">
        <v>31</v>
      </c>
      <c r="E163" s="2" t="s">
        <v>17</v>
      </c>
      <c r="F163" s="2" t="s">
        <v>76</v>
      </c>
      <c r="G163" s="2" t="s">
        <v>19</v>
      </c>
      <c r="H163" s="3">
        <v>43336</v>
      </c>
      <c r="I163" s="2">
        <v>8.1999999999999993</v>
      </c>
      <c r="J163" s="2">
        <v>4</v>
      </c>
      <c r="K163" s="4">
        <v>202400</v>
      </c>
      <c r="L163" s="4">
        <v>192300</v>
      </c>
      <c r="M163" s="5">
        <f t="shared" si="10"/>
        <v>2621100</v>
      </c>
      <c r="N163" s="6">
        <f t="shared" si="11"/>
        <v>26.210999999999999</v>
      </c>
    </row>
    <row r="164" spans="1:14" x14ac:dyDescent="0.3">
      <c r="A164" s="2" t="s">
        <v>358</v>
      </c>
      <c r="B164" s="2" t="s">
        <v>359</v>
      </c>
      <c r="C164" s="2" t="s">
        <v>25</v>
      </c>
      <c r="D164" s="2">
        <v>32</v>
      </c>
      <c r="E164" s="2" t="s">
        <v>41</v>
      </c>
      <c r="F164" s="2" t="s">
        <v>26</v>
      </c>
      <c r="G164" s="2" t="s">
        <v>64</v>
      </c>
      <c r="H164" s="3">
        <v>43470</v>
      </c>
      <c r="I164" s="2">
        <v>7.8</v>
      </c>
      <c r="J164" s="2">
        <v>4</v>
      </c>
      <c r="K164" s="4">
        <v>131300</v>
      </c>
      <c r="L164" s="4">
        <v>124700</v>
      </c>
      <c r="M164" s="5">
        <f t="shared" si="10"/>
        <v>1700300</v>
      </c>
      <c r="N164" s="6">
        <f t="shared" si="11"/>
        <v>17.003</v>
      </c>
    </row>
    <row r="165" spans="1:14" x14ac:dyDescent="0.3">
      <c r="A165" s="2" t="s">
        <v>360</v>
      </c>
      <c r="B165" s="2" t="s">
        <v>361</v>
      </c>
      <c r="C165" s="2" t="s">
        <v>16</v>
      </c>
      <c r="D165" s="2">
        <v>26</v>
      </c>
      <c r="E165" s="2" t="s">
        <v>47</v>
      </c>
      <c r="F165" s="2" t="s">
        <v>26</v>
      </c>
      <c r="G165" s="2" t="s">
        <v>42</v>
      </c>
      <c r="H165" s="3">
        <v>44517</v>
      </c>
      <c r="I165" s="2">
        <v>4.8</v>
      </c>
      <c r="J165" s="2">
        <v>3</v>
      </c>
      <c r="K165" s="4">
        <v>128600</v>
      </c>
      <c r="L165" s="4">
        <v>99700</v>
      </c>
      <c r="M165" s="5">
        <f t="shared" si="10"/>
        <v>1642900</v>
      </c>
      <c r="N165" s="6">
        <f t="shared" si="11"/>
        <v>16.428999999999998</v>
      </c>
    </row>
    <row r="166" spans="1:14" x14ac:dyDescent="0.3">
      <c r="A166" s="2" t="s">
        <v>362</v>
      </c>
      <c r="B166" s="2" t="s">
        <v>363</v>
      </c>
      <c r="C166" s="2" t="s">
        <v>16</v>
      </c>
      <c r="D166" s="2">
        <v>27</v>
      </c>
      <c r="E166" s="2" t="s">
        <v>38</v>
      </c>
      <c r="F166" s="2" t="s">
        <v>73</v>
      </c>
      <c r="G166" s="2" t="s">
        <v>19</v>
      </c>
      <c r="H166" s="3">
        <v>45630</v>
      </c>
      <c r="I166" s="2">
        <v>1.8</v>
      </c>
      <c r="J166" s="2">
        <v>4</v>
      </c>
      <c r="K166" s="4">
        <v>33200</v>
      </c>
      <c r="L166" s="4">
        <v>31500</v>
      </c>
      <c r="M166" s="5">
        <f t="shared" si="10"/>
        <v>429900</v>
      </c>
      <c r="N166" s="6">
        <f t="shared" si="11"/>
        <v>4.2990000000000004</v>
      </c>
    </row>
    <row r="167" spans="1:14" x14ac:dyDescent="0.3">
      <c r="A167" s="2" t="s">
        <v>364</v>
      </c>
      <c r="B167" s="2" t="s">
        <v>365</v>
      </c>
      <c r="C167" s="2" t="s">
        <v>16</v>
      </c>
      <c r="D167" s="2">
        <v>26</v>
      </c>
      <c r="E167" s="2" t="s">
        <v>54</v>
      </c>
      <c r="F167" s="2" t="s">
        <v>73</v>
      </c>
      <c r="G167" s="2" t="s">
        <v>64</v>
      </c>
      <c r="H167" s="3">
        <v>46058</v>
      </c>
      <c r="I167" s="2">
        <v>0.5</v>
      </c>
      <c r="J167" s="2">
        <v>3</v>
      </c>
      <c r="K167" s="4">
        <v>41600</v>
      </c>
      <c r="L167" s="4">
        <v>32200</v>
      </c>
      <c r="M167" s="5">
        <f t="shared" si="10"/>
        <v>531400</v>
      </c>
      <c r="N167" s="6">
        <f t="shared" si="11"/>
        <v>5.3140000000000001</v>
      </c>
    </row>
    <row r="168" spans="1:14" x14ac:dyDescent="0.3">
      <c r="A168" s="2" t="s">
        <v>366</v>
      </c>
      <c r="B168" s="2" t="s">
        <v>367</v>
      </c>
      <c r="C168" s="2" t="s">
        <v>16</v>
      </c>
      <c r="D168" s="2">
        <v>27</v>
      </c>
      <c r="E168" s="2" t="s">
        <v>72</v>
      </c>
      <c r="F168" s="2" t="s">
        <v>18</v>
      </c>
      <c r="G168" s="2" t="s">
        <v>69</v>
      </c>
      <c r="H168" s="3">
        <v>44395</v>
      </c>
      <c r="I168" s="2">
        <v>5</v>
      </c>
      <c r="J168" s="2">
        <v>4</v>
      </c>
      <c r="K168" s="4">
        <v>57300</v>
      </c>
      <c r="L168" s="4">
        <v>54400</v>
      </c>
      <c r="M168" s="5">
        <f t="shared" si="10"/>
        <v>742000</v>
      </c>
      <c r="N168" s="6">
        <f t="shared" si="11"/>
        <v>7.42</v>
      </c>
    </row>
    <row r="169" spans="1:14" x14ac:dyDescent="0.3">
      <c r="A169" s="2" t="s">
        <v>368</v>
      </c>
      <c r="B169" s="2" t="s">
        <v>369</v>
      </c>
      <c r="C169" s="2" t="s">
        <v>25</v>
      </c>
      <c r="D169" s="2">
        <v>27</v>
      </c>
      <c r="E169" s="2" t="s">
        <v>17</v>
      </c>
      <c r="F169" s="2" t="s">
        <v>34</v>
      </c>
      <c r="G169" s="2" t="s">
        <v>19</v>
      </c>
      <c r="H169" s="3">
        <v>44327</v>
      </c>
      <c r="I169" s="2">
        <v>5.3</v>
      </c>
      <c r="J169" s="2">
        <v>3</v>
      </c>
      <c r="K169" s="4">
        <v>62500</v>
      </c>
      <c r="L169" s="4">
        <v>48400</v>
      </c>
      <c r="M169" s="5">
        <f t="shared" si="10"/>
        <v>798400</v>
      </c>
      <c r="N169" s="6">
        <f t="shared" si="11"/>
        <v>7.984</v>
      </c>
    </row>
    <row r="170" spans="1:14" x14ac:dyDescent="0.3">
      <c r="A170" s="2" t="s">
        <v>370</v>
      </c>
      <c r="B170" s="2" t="s">
        <v>371</v>
      </c>
      <c r="C170" s="2" t="s">
        <v>16</v>
      </c>
      <c r="D170" s="2">
        <v>32</v>
      </c>
      <c r="E170" s="2" t="s">
        <v>29</v>
      </c>
      <c r="F170" s="2" t="s">
        <v>73</v>
      </c>
      <c r="G170" s="2" t="s">
        <v>42</v>
      </c>
      <c r="H170" s="3">
        <v>44076</v>
      </c>
      <c r="I170" s="2">
        <v>6</v>
      </c>
      <c r="J170" s="2">
        <v>3</v>
      </c>
      <c r="K170" s="4">
        <v>35500</v>
      </c>
      <c r="L170" s="4">
        <v>27500</v>
      </c>
      <c r="M170" s="5">
        <f t="shared" si="10"/>
        <v>453500</v>
      </c>
      <c r="N170" s="6">
        <f t="shared" si="11"/>
        <v>4.5350000000000001</v>
      </c>
    </row>
    <row r="171" spans="1:14" x14ac:dyDescent="0.3">
      <c r="A171" s="2" t="s">
        <v>372</v>
      </c>
      <c r="B171" s="2" t="s">
        <v>373</v>
      </c>
      <c r="C171" s="2" t="s">
        <v>25</v>
      </c>
      <c r="D171" s="2">
        <v>25</v>
      </c>
      <c r="E171" s="2" t="s">
        <v>41</v>
      </c>
      <c r="F171" s="2" t="s">
        <v>73</v>
      </c>
      <c r="G171" s="2" t="s">
        <v>51</v>
      </c>
      <c r="H171" s="3">
        <v>44667</v>
      </c>
      <c r="I171" s="2">
        <v>4.3</v>
      </c>
      <c r="J171" s="2">
        <v>4</v>
      </c>
      <c r="K171" s="4">
        <v>38700</v>
      </c>
      <c r="L171" s="4">
        <v>36800</v>
      </c>
      <c r="M171" s="5">
        <f t="shared" si="10"/>
        <v>501200</v>
      </c>
      <c r="N171" s="6">
        <f t="shared" si="11"/>
        <v>5.0119999999999996</v>
      </c>
    </row>
    <row r="172" spans="1:14" x14ac:dyDescent="0.3">
      <c r="A172" s="2" t="s">
        <v>374</v>
      </c>
      <c r="B172" s="2" t="s">
        <v>189</v>
      </c>
      <c r="C172" s="2" t="s">
        <v>25</v>
      </c>
      <c r="D172" s="2">
        <v>29</v>
      </c>
      <c r="E172" s="2" t="s">
        <v>47</v>
      </c>
      <c r="F172" s="2" t="s">
        <v>61</v>
      </c>
      <c r="G172" s="2" t="s">
        <v>51</v>
      </c>
      <c r="H172" s="3">
        <v>44350</v>
      </c>
      <c r="I172" s="2">
        <v>5.4</v>
      </c>
      <c r="J172" s="2">
        <v>3</v>
      </c>
      <c r="K172" s="4">
        <v>87500</v>
      </c>
      <c r="L172" s="4">
        <v>67800</v>
      </c>
      <c r="M172" s="5">
        <f t="shared" si="10"/>
        <v>1117800</v>
      </c>
      <c r="N172" s="6">
        <f t="shared" si="11"/>
        <v>11.178000000000001</v>
      </c>
    </row>
    <row r="173" spans="1:14" x14ac:dyDescent="0.3">
      <c r="A173" s="2" t="s">
        <v>375</v>
      </c>
      <c r="B173" s="2" t="s">
        <v>376</v>
      </c>
      <c r="C173" s="2" t="s">
        <v>25</v>
      </c>
      <c r="D173" s="2">
        <v>28</v>
      </c>
      <c r="E173" s="2" t="s">
        <v>17</v>
      </c>
      <c r="F173" s="2" t="s">
        <v>34</v>
      </c>
      <c r="G173" s="2" t="s">
        <v>35</v>
      </c>
      <c r="H173" s="3">
        <v>44626</v>
      </c>
      <c r="I173" s="2">
        <v>4.5</v>
      </c>
      <c r="J173" s="2">
        <v>2</v>
      </c>
      <c r="K173" s="4">
        <v>53900</v>
      </c>
      <c r="L173" s="4">
        <v>32300</v>
      </c>
      <c r="M173" s="5">
        <f t="shared" si="10"/>
        <v>679100</v>
      </c>
      <c r="N173" s="6">
        <f t="shared" si="11"/>
        <v>6.7910000000000004</v>
      </c>
    </row>
    <row r="174" spans="1:14" x14ac:dyDescent="0.3">
      <c r="A174" s="2" t="s">
        <v>377</v>
      </c>
      <c r="B174" s="2" t="s">
        <v>378</v>
      </c>
      <c r="C174" s="2" t="s">
        <v>25</v>
      </c>
      <c r="D174" s="2">
        <v>28</v>
      </c>
      <c r="E174" s="2" t="s">
        <v>72</v>
      </c>
      <c r="F174" s="2" t="s">
        <v>18</v>
      </c>
      <c r="G174" s="2" t="s">
        <v>42</v>
      </c>
      <c r="H174" s="3">
        <v>44826</v>
      </c>
      <c r="I174" s="2">
        <v>4</v>
      </c>
      <c r="J174" s="2">
        <v>3</v>
      </c>
      <c r="K174" s="4">
        <v>51200</v>
      </c>
      <c r="L174" s="4">
        <v>39700</v>
      </c>
      <c r="M174" s="5">
        <f t="shared" si="10"/>
        <v>654100</v>
      </c>
      <c r="N174" s="6">
        <f t="shared" si="11"/>
        <v>6.5410000000000004</v>
      </c>
    </row>
    <row r="175" spans="1:14" x14ac:dyDescent="0.3">
      <c r="A175" s="2" t="s">
        <v>379</v>
      </c>
      <c r="B175" s="2" t="s">
        <v>222</v>
      </c>
      <c r="C175" s="2" t="s">
        <v>25</v>
      </c>
      <c r="D175" s="2">
        <v>34</v>
      </c>
      <c r="E175" s="2" t="s">
        <v>17</v>
      </c>
      <c r="F175" s="2" t="s">
        <v>26</v>
      </c>
      <c r="G175" s="2" t="s">
        <v>51</v>
      </c>
      <c r="H175" s="3">
        <v>42448</v>
      </c>
      <c r="I175" s="2">
        <v>10.5</v>
      </c>
      <c r="J175" s="2">
        <v>3</v>
      </c>
      <c r="K175" s="4">
        <v>118200</v>
      </c>
      <c r="L175" s="4">
        <v>91600</v>
      </c>
      <c r="M175" s="5">
        <f t="shared" si="10"/>
        <v>1510000</v>
      </c>
      <c r="N175" s="6">
        <f t="shared" si="11"/>
        <v>15.1</v>
      </c>
    </row>
    <row r="176" spans="1:14" x14ac:dyDescent="0.3">
      <c r="A176" s="2" t="s">
        <v>380</v>
      </c>
      <c r="B176" s="2" t="s">
        <v>381</v>
      </c>
      <c r="C176" s="2" t="s">
        <v>25</v>
      </c>
      <c r="D176" s="2">
        <v>34</v>
      </c>
      <c r="E176" s="2" t="s">
        <v>22</v>
      </c>
      <c r="F176" s="2" t="s">
        <v>174</v>
      </c>
      <c r="G176" s="2" t="s">
        <v>64</v>
      </c>
      <c r="H176" s="3">
        <v>41641</v>
      </c>
      <c r="I176" s="2">
        <v>12.7</v>
      </c>
      <c r="J176" s="2">
        <v>3</v>
      </c>
      <c r="K176" s="4">
        <v>348500</v>
      </c>
      <c r="L176" s="4">
        <v>270100</v>
      </c>
      <c r="M176" s="5">
        <f t="shared" si="10"/>
        <v>4452100</v>
      </c>
      <c r="N176" s="6">
        <f t="shared" si="11"/>
        <v>44.521000000000001</v>
      </c>
    </row>
    <row r="177" spans="1:14" x14ac:dyDescent="0.3">
      <c r="A177" s="2" t="s">
        <v>382</v>
      </c>
      <c r="B177" s="2" t="s">
        <v>383</v>
      </c>
      <c r="C177" s="2" t="s">
        <v>25</v>
      </c>
      <c r="D177" s="2">
        <v>23</v>
      </c>
      <c r="E177" s="2" t="s">
        <v>38</v>
      </c>
      <c r="F177" s="2" t="s">
        <v>58</v>
      </c>
      <c r="G177" s="2" t="s">
        <v>64</v>
      </c>
      <c r="H177" s="3">
        <v>45553</v>
      </c>
      <c r="I177" s="2">
        <v>1.9</v>
      </c>
      <c r="J177" s="2">
        <v>3</v>
      </c>
      <c r="K177" s="4">
        <v>38600</v>
      </c>
      <c r="L177" s="4">
        <v>29900</v>
      </c>
      <c r="M177" s="5">
        <f t="shared" si="10"/>
        <v>493100</v>
      </c>
      <c r="N177" s="6">
        <f t="shared" si="11"/>
        <v>4.931</v>
      </c>
    </row>
    <row r="178" spans="1:14" x14ac:dyDescent="0.3">
      <c r="A178" s="2" t="s">
        <v>384</v>
      </c>
      <c r="B178" s="2" t="s">
        <v>385</v>
      </c>
      <c r="C178" s="2" t="s">
        <v>25</v>
      </c>
      <c r="D178" s="2">
        <v>24</v>
      </c>
      <c r="E178" s="2" t="s">
        <v>54</v>
      </c>
      <c r="F178" s="2" t="s">
        <v>58</v>
      </c>
      <c r="G178" s="2" t="s">
        <v>69</v>
      </c>
      <c r="H178" s="3">
        <v>45585</v>
      </c>
      <c r="I178" s="2">
        <v>1.8</v>
      </c>
      <c r="J178" s="2">
        <v>3</v>
      </c>
      <c r="K178" s="4">
        <v>45500</v>
      </c>
      <c r="L178" s="4">
        <v>35300</v>
      </c>
      <c r="M178" s="5">
        <f t="shared" si="10"/>
        <v>581300</v>
      </c>
      <c r="N178" s="6">
        <f t="shared" si="11"/>
        <v>5.8129999999999997</v>
      </c>
    </row>
    <row r="179" spans="1:14" x14ac:dyDescent="0.3">
      <c r="A179" s="2" t="s">
        <v>386</v>
      </c>
      <c r="B179" s="2" t="s">
        <v>387</v>
      </c>
      <c r="C179" s="2" t="s">
        <v>16</v>
      </c>
      <c r="D179" s="2">
        <v>27</v>
      </c>
      <c r="E179" s="2" t="s">
        <v>54</v>
      </c>
      <c r="F179" s="2" t="s">
        <v>34</v>
      </c>
      <c r="G179" s="2" t="s">
        <v>64</v>
      </c>
      <c r="H179" s="3">
        <v>44036</v>
      </c>
      <c r="I179" s="2">
        <v>6.1</v>
      </c>
      <c r="J179" s="2">
        <v>3</v>
      </c>
      <c r="K179" s="4">
        <v>62400</v>
      </c>
      <c r="L179" s="4">
        <v>48400</v>
      </c>
      <c r="M179" s="5">
        <f t="shared" si="10"/>
        <v>797200</v>
      </c>
      <c r="N179" s="6">
        <f t="shared" si="11"/>
        <v>7.9720000000000004</v>
      </c>
    </row>
    <row r="180" spans="1:14" x14ac:dyDescent="0.3">
      <c r="A180" s="2" t="s">
        <v>388</v>
      </c>
      <c r="B180" s="2" t="s">
        <v>389</v>
      </c>
      <c r="C180" s="2" t="s">
        <v>16</v>
      </c>
      <c r="D180" s="2">
        <v>24</v>
      </c>
      <c r="E180" s="2" t="s">
        <v>47</v>
      </c>
      <c r="F180" s="2" t="s">
        <v>73</v>
      </c>
      <c r="G180" s="2" t="s">
        <v>69</v>
      </c>
      <c r="H180" s="3">
        <v>46140</v>
      </c>
      <c r="I180" s="2">
        <v>0.5</v>
      </c>
      <c r="J180" s="2">
        <v>3</v>
      </c>
      <c r="K180" s="4">
        <v>42000</v>
      </c>
      <c r="L180" s="4">
        <v>32500</v>
      </c>
      <c r="M180" s="5">
        <f t="shared" si="10"/>
        <v>536500</v>
      </c>
      <c r="N180" s="6">
        <f t="shared" si="11"/>
        <v>5.3650000000000002</v>
      </c>
    </row>
    <row r="181" spans="1:14" x14ac:dyDescent="0.3">
      <c r="A181" s="2" t="s">
        <v>390</v>
      </c>
      <c r="B181" s="2" t="s">
        <v>391</v>
      </c>
      <c r="C181" s="2" t="s">
        <v>25</v>
      </c>
      <c r="D181" s="2">
        <v>42</v>
      </c>
      <c r="E181" s="2" t="s">
        <v>54</v>
      </c>
      <c r="F181" s="2" t="s">
        <v>48</v>
      </c>
      <c r="G181" s="2" t="s">
        <v>69</v>
      </c>
      <c r="H181" s="3">
        <v>40398</v>
      </c>
      <c r="I181" s="2">
        <v>16.100000000000001</v>
      </c>
      <c r="J181" s="2">
        <v>3</v>
      </c>
      <c r="K181" s="4">
        <v>577800</v>
      </c>
      <c r="L181" s="4">
        <v>447800</v>
      </c>
      <c r="M181" s="5">
        <f t="shared" si="10"/>
        <v>7381400</v>
      </c>
      <c r="N181" s="6">
        <f t="shared" si="11"/>
        <v>73.813999999999993</v>
      </c>
    </row>
    <row r="182" spans="1:14" x14ac:dyDescent="0.3">
      <c r="A182" s="2" t="s">
        <v>392</v>
      </c>
      <c r="B182" s="2" t="s">
        <v>393</v>
      </c>
      <c r="C182" s="2" t="s">
        <v>25</v>
      </c>
      <c r="D182" s="2">
        <v>25</v>
      </c>
      <c r="E182" s="2" t="s">
        <v>72</v>
      </c>
      <c r="F182" s="2" t="s">
        <v>73</v>
      </c>
      <c r="G182" s="2" t="s">
        <v>51</v>
      </c>
      <c r="H182" s="3">
        <v>46046</v>
      </c>
      <c r="I182" s="2">
        <v>0.5</v>
      </c>
      <c r="J182" s="2">
        <v>4</v>
      </c>
      <c r="K182" s="4">
        <v>32400</v>
      </c>
      <c r="L182" s="4">
        <v>30800</v>
      </c>
      <c r="M182" s="5">
        <f t="shared" si="10"/>
        <v>419600</v>
      </c>
      <c r="N182" s="6">
        <f t="shared" si="11"/>
        <v>4.1959999999999997</v>
      </c>
    </row>
    <row r="183" spans="1:14" x14ac:dyDescent="0.3">
      <c r="A183" s="2" t="s">
        <v>394</v>
      </c>
      <c r="B183" s="2" t="s">
        <v>395</v>
      </c>
      <c r="C183" s="2" t="s">
        <v>25</v>
      </c>
      <c r="D183" s="2">
        <v>30</v>
      </c>
      <c r="E183" s="2" t="s">
        <v>29</v>
      </c>
      <c r="F183" s="2" t="s">
        <v>26</v>
      </c>
      <c r="G183" s="2" t="s">
        <v>69</v>
      </c>
      <c r="H183" s="3">
        <v>43690</v>
      </c>
      <c r="I183" s="2">
        <v>7.2</v>
      </c>
      <c r="J183" s="2">
        <v>3</v>
      </c>
      <c r="K183" s="4">
        <v>138600</v>
      </c>
      <c r="L183" s="4">
        <v>107400</v>
      </c>
      <c r="M183" s="5">
        <f t="shared" si="10"/>
        <v>1770600</v>
      </c>
      <c r="N183" s="6">
        <f t="shared" si="11"/>
        <v>17.706</v>
      </c>
    </row>
    <row r="184" spans="1:14" x14ac:dyDescent="0.3">
      <c r="A184" s="2" t="s">
        <v>396</v>
      </c>
      <c r="B184" s="2" t="s">
        <v>397</v>
      </c>
      <c r="C184" s="2" t="s">
        <v>25</v>
      </c>
      <c r="D184" s="2">
        <v>29</v>
      </c>
      <c r="E184" s="2" t="s">
        <v>72</v>
      </c>
      <c r="F184" s="2" t="s">
        <v>61</v>
      </c>
      <c r="G184" s="2" t="s">
        <v>64</v>
      </c>
      <c r="H184" s="3">
        <v>43295</v>
      </c>
      <c r="I184" s="2">
        <v>8.1999999999999993</v>
      </c>
      <c r="J184" s="2">
        <v>4</v>
      </c>
      <c r="K184" s="4">
        <v>77400</v>
      </c>
      <c r="L184" s="4">
        <v>73500</v>
      </c>
      <c r="M184" s="5">
        <f t="shared" si="10"/>
        <v>1002300</v>
      </c>
      <c r="N184" s="6">
        <f t="shared" si="11"/>
        <v>10.023</v>
      </c>
    </row>
    <row r="185" spans="1:14" x14ac:dyDescent="0.3">
      <c r="A185" s="2" t="s">
        <v>398</v>
      </c>
      <c r="B185" s="2" t="s">
        <v>399</v>
      </c>
      <c r="C185" s="2" t="s">
        <v>25</v>
      </c>
      <c r="D185" s="2">
        <v>30</v>
      </c>
      <c r="E185" s="2" t="s">
        <v>17</v>
      </c>
      <c r="F185" s="2" t="s">
        <v>26</v>
      </c>
      <c r="G185" s="2" t="s">
        <v>69</v>
      </c>
      <c r="H185" s="3">
        <v>42983</v>
      </c>
      <c r="I185" s="2">
        <v>9</v>
      </c>
      <c r="J185" s="2">
        <v>3</v>
      </c>
      <c r="K185" s="4">
        <v>129400</v>
      </c>
      <c r="L185" s="4">
        <v>100300</v>
      </c>
      <c r="M185" s="5">
        <f t="shared" si="10"/>
        <v>1653100</v>
      </c>
      <c r="N185" s="6">
        <f t="shared" si="11"/>
        <v>16.530999999999999</v>
      </c>
    </row>
    <row r="186" spans="1:14" x14ac:dyDescent="0.3">
      <c r="A186" s="2" t="s">
        <v>400</v>
      </c>
      <c r="B186" s="2" t="s">
        <v>401</v>
      </c>
      <c r="C186" s="2" t="s">
        <v>25</v>
      </c>
      <c r="D186" s="2">
        <v>29</v>
      </c>
      <c r="E186" s="2" t="s">
        <v>54</v>
      </c>
      <c r="F186" s="2" t="s">
        <v>34</v>
      </c>
      <c r="G186" s="2" t="s">
        <v>19</v>
      </c>
      <c r="H186" s="3">
        <v>44485</v>
      </c>
      <c r="I186" s="2">
        <v>4.8</v>
      </c>
      <c r="J186" s="2">
        <v>4</v>
      </c>
      <c r="K186" s="4">
        <v>61900</v>
      </c>
      <c r="L186" s="4">
        <v>58800</v>
      </c>
      <c r="M186" s="5">
        <f t="shared" si="10"/>
        <v>801600</v>
      </c>
      <c r="N186" s="6">
        <f t="shared" si="11"/>
        <v>8.016</v>
      </c>
    </row>
    <row r="187" spans="1:14" x14ac:dyDescent="0.3">
      <c r="A187" s="2" t="s">
        <v>402</v>
      </c>
      <c r="B187" s="2" t="s">
        <v>403</v>
      </c>
      <c r="C187" s="2" t="s">
        <v>16</v>
      </c>
      <c r="D187" s="2">
        <v>28</v>
      </c>
      <c r="E187" s="2" t="s">
        <v>41</v>
      </c>
      <c r="F187" s="2" t="s">
        <v>61</v>
      </c>
      <c r="G187" s="2" t="s">
        <v>35</v>
      </c>
      <c r="H187" s="3">
        <v>44926</v>
      </c>
      <c r="I187" s="2">
        <v>3.8</v>
      </c>
      <c r="J187" s="2">
        <v>4</v>
      </c>
      <c r="K187" s="4">
        <v>80000</v>
      </c>
      <c r="L187" s="4">
        <v>76000</v>
      </c>
      <c r="M187" s="5">
        <f t="shared" si="10"/>
        <v>1036000</v>
      </c>
      <c r="N187" s="6">
        <f t="shared" si="11"/>
        <v>10.36</v>
      </c>
    </row>
    <row r="188" spans="1:14" x14ac:dyDescent="0.3">
      <c r="A188" s="2" t="s">
        <v>404</v>
      </c>
      <c r="B188" s="2" t="s">
        <v>405</v>
      </c>
      <c r="C188" s="2" t="s">
        <v>25</v>
      </c>
      <c r="D188" s="2">
        <v>27</v>
      </c>
      <c r="E188" s="2" t="s">
        <v>41</v>
      </c>
      <c r="F188" s="2" t="s">
        <v>55</v>
      </c>
      <c r="G188" s="2" t="s">
        <v>42</v>
      </c>
      <c r="H188" s="3">
        <v>44557</v>
      </c>
      <c r="I188" s="2">
        <v>4.5999999999999996</v>
      </c>
      <c r="J188" s="2">
        <v>3</v>
      </c>
      <c r="K188" s="4">
        <v>89300</v>
      </c>
      <c r="L188" s="4">
        <v>69200</v>
      </c>
      <c r="M188" s="5">
        <f t="shared" si="10"/>
        <v>1140800</v>
      </c>
      <c r="N188" s="6">
        <f t="shared" si="11"/>
        <v>11.407999999999999</v>
      </c>
    </row>
    <row r="189" spans="1:14" x14ac:dyDescent="0.3">
      <c r="A189" s="2" t="s">
        <v>406</v>
      </c>
      <c r="B189" s="2" t="s">
        <v>407</v>
      </c>
      <c r="C189" s="2" t="s">
        <v>16</v>
      </c>
      <c r="D189" s="2">
        <v>28</v>
      </c>
      <c r="E189" s="2" t="s">
        <v>54</v>
      </c>
      <c r="F189" s="2" t="s">
        <v>18</v>
      </c>
      <c r="G189" s="2" t="s">
        <v>51</v>
      </c>
      <c r="H189" s="3">
        <v>45066</v>
      </c>
      <c r="I189" s="2">
        <v>3.4</v>
      </c>
      <c r="J189" s="2">
        <v>4</v>
      </c>
      <c r="K189" s="4">
        <v>53000</v>
      </c>
      <c r="L189" s="4">
        <v>50400</v>
      </c>
      <c r="M189" s="5">
        <f t="shared" si="10"/>
        <v>686400</v>
      </c>
      <c r="N189" s="6">
        <f t="shared" si="11"/>
        <v>6.8639999999999999</v>
      </c>
    </row>
    <row r="190" spans="1:14" x14ac:dyDescent="0.3">
      <c r="A190" s="2" t="s">
        <v>408</v>
      </c>
      <c r="B190" s="2" t="s">
        <v>409</v>
      </c>
      <c r="C190" s="2" t="s">
        <v>16</v>
      </c>
      <c r="D190" s="2">
        <v>23</v>
      </c>
      <c r="E190" s="2" t="s">
        <v>17</v>
      </c>
      <c r="F190" s="2" t="s">
        <v>34</v>
      </c>
      <c r="G190" s="2" t="s">
        <v>42</v>
      </c>
      <c r="H190" s="3">
        <v>45384</v>
      </c>
      <c r="I190" s="2">
        <v>2.6</v>
      </c>
      <c r="J190" s="2">
        <v>4</v>
      </c>
      <c r="K190" s="4">
        <v>63400</v>
      </c>
      <c r="L190" s="4">
        <v>60200</v>
      </c>
      <c r="M190" s="5">
        <f t="shared" si="10"/>
        <v>821000</v>
      </c>
      <c r="N190" s="6">
        <f t="shared" si="11"/>
        <v>8.2100000000000009</v>
      </c>
    </row>
    <row r="191" spans="1:14" x14ac:dyDescent="0.3">
      <c r="A191" s="2" t="s">
        <v>410</v>
      </c>
      <c r="B191" s="2" t="s">
        <v>411</v>
      </c>
      <c r="C191" s="2" t="s">
        <v>16</v>
      </c>
      <c r="D191" s="2">
        <v>23</v>
      </c>
      <c r="E191" s="2" t="s">
        <v>54</v>
      </c>
      <c r="F191" s="2" t="s">
        <v>73</v>
      </c>
      <c r="G191" s="2" t="s">
        <v>19</v>
      </c>
      <c r="H191" s="3">
        <v>46108</v>
      </c>
      <c r="I191" s="2">
        <v>0.6</v>
      </c>
      <c r="J191" s="2">
        <v>4</v>
      </c>
      <c r="K191" s="4">
        <v>34300</v>
      </c>
      <c r="L191" s="4">
        <v>32600</v>
      </c>
      <c r="M191" s="5">
        <f t="shared" si="10"/>
        <v>444200</v>
      </c>
      <c r="N191" s="6">
        <f t="shared" si="11"/>
        <v>4.4420000000000002</v>
      </c>
    </row>
    <row r="192" spans="1:14" x14ac:dyDescent="0.3">
      <c r="A192" s="2" t="s">
        <v>412</v>
      </c>
      <c r="B192" s="2" t="s">
        <v>413</v>
      </c>
      <c r="C192" s="2" t="s">
        <v>16</v>
      </c>
      <c r="D192" s="2">
        <v>25</v>
      </c>
      <c r="E192" s="2" t="s">
        <v>47</v>
      </c>
      <c r="F192" s="2" t="s">
        <v>73</v>
      </c>
      <c r="G192" s="2" t="s">
        <v>19</v>
      </c>
      <c r="H192" s="3">
        <v>44989</v>
      </c>
      <c r="I192" s="2">
        <v>3.6</v>
      </c>
      <c r="J192" s="2">
        <v>4</v>
      </c>
      <c r="K192" s="4">
        <v>44600</v>
      </c>
      <c r="L192" s="4">
        <v>42400</v>
      </c>
      <c r="M192" s="5">
        <f t="shared" si="10"/>
        <v>577600</v>
      </c>
      <c r="N192" s="6">
        <f t="shared" si="11"/>
        <v>5.7759999999999998</v>
      </c>
    </row>
    <row r="193" spans="1:14" x14ac:dyDescent="0.3">
      <c r="A193" s="2" t="s">
        <v>414</v>
      </c>
      <c r="B193" s="2" t="s">
        <v>415</v>
      </c>
      <c r="C193" s="2" t="s">
        <v>16</v>
      </c>
      <c r="D193" s="2">
        <v>34</v>
      </c>
      <c r="E193" s="2" t="s">
        <v>17</v>
      </c>
      <c r="F193" s="2" t="s">
        <v>18</v>
      </c>
      <c r="G193" s="2" t="s">
        <v>51</v>
      </c>
      <c r="H193" s="3">
        <v>43105</v>
      </c>
      <c r="I193" s="2">
        <v>8.8000000000000007</v>
      </c>
      <c r="J193" s="2">
        <v>5</v>
      </c>
      <c r="K193" s="4">
        <v>47200</v>
      </c>
      <c r="L193" s="4">
        <v>53100</v>
      </c>
      <c r="M193" s="5">
        <f t="shared" si="10"/>
        <v>619500</v>
      </c>
      <c r="N193" s="6">
        <f t="shared" si="11"/>
        <v>6.1950000000000003</v>
      </c>
    </row>
    <row r="194" spans="1:14" x14ac:dyDescent="0.3">
      <c r="A194" s="2" t="s">
        <v>416</v>
      </c>
      <c r="B194" s="2" t="s">
        <v>417</v>
      </c>
      <c r="C194" s="2" t="s">
        <v>25</v>
      </c>
      <c r="D194" s="2">
        <v>23</v>
      </c>
      <c r="E194" s="2" t="s">
        <v>29</v>
      </c>
      <c r="F194" s="2" t="s">
        <v>73</v>
      </c>
      <c r="G194" s="2" t="s">
        <v>42</v>
      </c>
      <c r="H194" s="3">
        <v>45756</v>
      </c>
      <c r="I194" s="2">
        <v>1.5</v>
      </c>
      <c r="J194" s="2">
        <v>3</v>
      </c>
      <c r="K194" s="4">
        <v>42500</v>
      </c>
      <c r="L194" s="4">
        <v>32900</v>
      </c>
      <c r="M194" s="5">
        <f t="shared" ref="M194:M225" si="12">K194*12+L194</f>
        <v>542900</v>
      </c>
      <c r="N194" s="6">
        <f t="shared" ref="N194:N225" si="13">M194/100000</f>
        <v>5.4290000000000003</v>
      </c>
    </row>
    <row r="195" spans="1:14" x14ac:dyDescent="0.3">
      <c r="A195" s="2" t="s">
        <v>418</v>
      </c>
      <c r="B195" s="2" t="s">
        <v>419</v>
      </c>
      <c r="C195" s="2" t="s">
        <v>25</v>
      </c>
      <c r="D195" s="2">
        <v>39</v>
      </c>
      <c r="E195" s="2" t="s">
        <v>41</v>
      </c>
      <c r="F195" s="2" t="s">
        <v>76</v>
      </c>
      <c r="G195" s="2" t="s">
        <v>64</v>
      </c>
      <c r="H195" s="3">
        <v>41471</v>
      </c>
      <c r="I195" s="2">
        <v>13.3</v>
      </c>
      <c r="J195" s="2">
        <v>3</v>
      </c>
      <c r="K195" s="4">
        <v>194900</v>
      </c>
      <c r="L195" s="4">
        <v>151000</v>
      </c>
      <c r="M195" s="5">
        <f t="shared" si="12"/>
        <v>2489800</v>
      </c>
      <c r="N195" s="6">
        <f t="shared" si="13"/>
        <v>24.898</v>
      </c>
    </row>
    <row r="196" spans="1:14" x14ac:dyDescent="0.3">
      <c r="A196" s="2" t="s">
        <v>420</v>
      </c>
      <c r="B196" s="2" t="s">
        <v>421</v>
      </c>
      <c r="C196" s="2" t="s">
        <v>25</v>
      </c>
      <c r="D196" s="2">
        <v>27</v>
      </c>
      <c r="E196" s="2" t="s">
        <v>54</v>
      </c>
      <c r="F196" s="2" t="s">
        <v>26</v>
      </c>
      <c r="G196" s="2" t="s">
        <v>35</v>
      </c>
      <c r="H196" s="3">
        <v>44071</v>
      </c>
      <c r="I196" s="2">
        <v>6</v>
      </c>
      <c r="J196" s="2">
        <v>4</v>
      </c>
      <c r="K196" s="4">
        <v>124600</v>
      </c>
      <c r="L196" s="4">
        <v>118400</v>
      </c>
      <c r="M196" s="5">
        <f t="shared" si="12"/>
        <v>1613600</v>
      </c>
      <c r="N196" s="6">
        <f t="shared" si="13"/>
        <v>16.135999999999999</v>
      </c>
    </row>
    <row r="197" spans="1:14" x14ac:dyDescent="0.3">
      <c r="A197" s="2" t="s">
        <v>422</v>
      </c>
      <c r="B197" s="2" t="s">
        <v>423</v>
      </c>
      <c r="C197" s="2" t="s">
        <v>25</v>
      </c>
      <c r="D197" s="2">
        <v>23</v>
      </c>
      <c r="E197" s="2" t="s">
        <v>17</v>
      </c>
      <c r="F197" s="2" t="s">
        <v>58</v>
      </c>
      <c r="G197" s="2" t="s">
        <v>64</v>
      </c>
      <c r="H197" s="3">
        <v>45970</v>
      </c>
      <c r="I197" s="2">
        <v>0.9</v>
      </c>
      <c r="J197" s="2">
        <v>5</v>
      </c>
      <c r="K197" s="4">
        <v>32100</v>
      </c>
      <c r="L197" s="4">
        <v>36100</v>
      </c>
      <c r="M197" s="5">
        <f t="shared" si="12"/>
        <v>421300</v>
      </c>
      <c r="N197" s="6">
        <f t="shared" si="13"/>
        <v>4.2130000000000001</v>
      </c>
    </row>
    <row r="198" spans="1:14" x14ac:dyDescent="0.3">
      <c r="A198" s="2" t="s">
        <v>424</v>
      </c>
      <c r="B198" s="2" t="s">
        <v>425</v>
      </c>
      <c r="C198" s="2" t="s">
        <v>25</v>
      </c>
      <c r="D198" s="2">
        <v>24</v>
      </c>
      <c r="E198" s="2" t="s">
        <v>54</v>
      </c>
      <c r="F198" s="2" t="s">
        <v>34</v>
      </c>
      <c r="G198" s="2" t="s">
        <v>35</v>
      </c>
      <c r="H198" s="3">
        <v>45380</v>
      </c>
      <c r="I198" s="2">
        <v>2.4</v>
      </c>
      <c r="J198" s="2">
        <v>3</v>
      </c>
      <c r="K198" s="4">
        <v>53700</v>
      </c>
      <c r="L198" s="4">
        <v>41600</v>
      </c>
      <c r="M198" s="5">
        <f t="shared" si="12"/>
        <v>686000</v>
      </c>
      <c r="N198" s="6">
        <f t="shared" si="13"/>
        <v>6.86</v>
      </c>
    </row>
    <row r="199" spans="1:14" x14ac:dyDescent="0.3">
      <c r="A199" s="2" t="s">
        <v>426</v>
      </c>
      <c r="B199" s="2" t="s">
        <v>427</v>
      </c>
      <c r="C199" s="2" t="s">
        <v>16</v>
      </c>
      <c r="D199" s="2">
        <v>27</v>
      </c>
      <c r="E199" s="2" t="s">
        <v>38</v>
      </c>
      <c r="F199" s="2" t="s">
        <v>18</v>
      </c>
      <c r="G199" s="2" t="s">
        <v>19</v>
      </c>
      <c r="H199" s="3">
        <v>45053</v>
      </c>
      <c r="I199" s="2">
        <v>3.2</v>
      </c>
      <c r="J199" s="2">
        <v>4</v>
      </c>
      <c r="K199" s="4">
        <v>56200</v>
      </c>
      <c r="L199" s="4">
        <v>53400</v>
      </c>
      <c r="M199" s="5">
        <f t="shared" si="12"/>
        <v>727800</v>
      </c>
      <c r="N199" s="6">
        <f t="shared" si="13"/>
        <v>7.2779999999999996</v>
      </c>
    </row>
    <row r="200" spans="1:14" x14ac:dyDescent="0.3">
      <c r="A200" s="2" t="s">
        <v>428</v>
      </c>
      <c r="B200" s="2" t="s">
        <v>429</v>
      </c>
      <c r="C200" s="2" t="s">
        <v>16</v>
      </c>
      <c r="D200" s="2">
        <v>38</v>
      </c>
      <c r="E200" s="2" t="s">
        <v>22</v>
      </c>
      <c r="F200" s="2" t="s">
        <v>174</v>
      </c>
      <c r="G200" s="2" t="s">
        <v>64</v>
      </c>
      <c r="H200" s="3">
        <v>40696</v>
      </c>
      <c r="I200" s="2">
        <v>15.2</v>
      </c>
      <c r="J200" s="2">
        <v>5</v>
      </c>
      <c r="K200" s="4">
        <v>287000</v>
      </c>
      <c r="L200" s="4">
        <v>322900</v>
      </c>
      <c r="M200" s="5">
        <f t="shared" si="12"/>
        <v>3766900</v>
      </c>
      <c r="N200" s="6">
        <f t="shared" si="13"/>
        <v>37.668999999999997</v>
      </c>
    </row>
    <row r="201" spans="1:14" x14ac:dyDescent="0.3">
      <c r="A201" s="2" t="s">
        <v>430</v>
      </c>
      <c r="B201" s="2" t="s">
        <v>431</v>
      </c>
      <c r="C201" s="2" t="s">
        <v>25</v>
      </c>
      <c r="D201" s="2">
        <v>36</v>
      </c>
      <c r="E201" s="2" t="s">
        <v>22</v>
      </c>
      <c r="F201" s="2" t="s">
        <v>76</v>
      </c>
      <c r="G201" s="2" t="s">
        <v>19</v>
      </c>
      <c r="H201" s="3">
        <v>42431</v>
      </c>
      <c r="I201" s="2">
        <v>10.5</v>
      </c>
      <c r="J201" s="2">
        <v>4</v>
      </c>
      <c r="K201" s="4">
        <v>152400</v>
      </c>
      <c r="L201" s="4">
        <v>144800</v>
      </c>
      <c r="M201" s="5">
        <f t="shared" si="12"/>
        <v>1973600</v>
      </c>
      <c r="N201" s="6">
        <f t="shared" si="13"/>
        <v>19.736000000000001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90" customWidth="1"/>
  </cols>
  <sheetData>
    <row r="1" spans="1:2" ht="27.75" customHeight="1" x14ac:dyDescent="0.3">
      <c r="A1" s="7" t="s">
        <v>432</v>
      </c>
      <c r="B1" s="8" t="s">
        <v>433</v>
      </c>
    </row>
    <row r="2" spans="1:2" ht="27.75" customHeight="1" x14ac:dyDescent="0.3">
      <c r="A2" s="9" t="s">
        <v>434</v>
      </c>
      <c r="B2" s="10" t="s">
        <v>435</v>
      </c>
    </row>
    <row r="3" spans="1:2" ht="27.75" customHeight="1" x14ac:dyDescent="0.3">
      <c r="A3" s="9" t="s">
        <v>436</v>
      </c>
      <c r="B3" s="10" t="s">
        <v>437</v>
      </c>
    </row>
    <row r="4" spans="1:2" ht="27.75" customHeight="1" x14ac:dyDescent="0.3">
      <c r="A4" s="9" t="s">
        <v>438</v>
      </c>
      <c r="B4" s="10" t="s">
        <v>439</v>
      </c>
    </row>
    <row r="5" spans="1:2" ht="27.75" customHeight="1" x14ac:dyDescent="0.3">
      <c r="A5" s="9" t="s">
        <v>6</v>
      </c>
      <c r="B5" s="10" t="s">
        <v>440</v>
      </c>
    </row>
    <row r="6" spans="1:2" ht="27.75" customHeight="1" x14ac:dyDescent="0.3">
      <c r="A6" s="9" t="s">
        <v>441</v>
      </c>
      <c r="B6" s="10" t="s">
        <v>442</v>
      </c>
    </row>
    <row r="7" spans="1:2" ht="27.75" customHeight="1" x14ac:dyDescent="0.3">
      <c r="A7" s="9" t="s">
        <v>9</v>
      </c>
      <c r="B7" s="10" t="s">
        <v>443</v>
      </c>
    </row>
    <row r="8" spans="1:2" ht="27.75" customHeight="1" x14ac:dyDescent="0.3">
      <c r="A8" s="9" t="s">
        <v>10</v>
      </c>
      <c r="B8" s="10" t="s">
        <v>444</v>
      </c>
    </row>
    <row r="9" spans="1:2" ht="27.75" customHeight="1" x14ac:dyDescent="0.3">
      <c r="A9" s="9" t="s">
        <v>11</v>
      </c>
      <c r="B9" s="10" t="s">
        <v>445</v>
      </c>
    </row>
    <row r="10" spans="1:2" ht="27.75" customHeight="1" x14ac:dyDescent="0.3">
      <c r="A10" s="9" t="s">
        <v>12</v>
      </c>
      <c r="B10" s="10" t="s">
        <v>446</v>
      </c>
    </row>
    <row r="11" spans="1:2" ht="27.75" customHeight="1" x14ac:dyDescent="0.3">
      <c r="A11" s="9" t="s">
        <v>13</v>
      </c>
      <c r="B11" s="10" t="s">
        <v>447</v>
      </c>
    </row>
    <row r="12" spans="1:2" ht="27.75" customHeight="1" x14ac:dyDescent="0.3">
      <c r="A12" s="9"/>
      <c r="B12" s="10"/>
    </row>
    <row r="13" spans="1:2" ht="27.75" customHeight="1" x14ac:dyDescent="0.3">
      <c r="A13" s="11" t="s">
        <v>448</v>
      </c>
      <c r="B13" s="12" t="s">
        <v>449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Employee_Compensation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RM</cp:lastModifiedBy>
  <cp:revision>0</cp:revision>
  <dcterms:created xsi:type="dcterms:W3CDTF">2026-09-15T06:45:14Z</dcterms:created>
  <dcterms:modified xsi:type="dcterms:W3CDTF">2026-09-15T07:20:24Z</dcterms:modified>
  <dc:language>en-US</dc:language>
</cp:coreProperties>
</file>